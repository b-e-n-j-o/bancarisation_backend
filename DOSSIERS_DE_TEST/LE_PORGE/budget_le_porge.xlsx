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udes\_En cours\33689-IMM-C-33018-Comp ZH-Le Porge-BEOLETTO-2392\0-CANDIDATURE\ECO-COMPENSATION\"/>
    </mc:Choice>
  </mc:AlternateContent>
  <xr:revisionPtr revIDLastSave="0" documentId="13_ncr:1_{BA3B6B8D-48C9-47BC-9924-D95C93260002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uivis et pilotage" sheetId="4" r:id="rId1"/>
    <sheet name="Planning" sheetId="6" r:id="rId2"/>
    <sheet name="DECOMPTE 2023" sheetId="9" r:id="rId3"/>
    <sheet name="DECOMPTE 2024" sheetId="11" r:id="rId4"/>
    <sheet name="DECOMPTE 2025" sheetId="12" r:id="rId5"/>
    <sheet name="DECOMPTE 2026" sheetId="13" r:id="rId6"/>
    <sheet name="PGZHC" sheetId="10" r:id="rId7"/>
  </sheets>
  <calcPr calcId="191029"/>
</workbook>
</file>

<file path=xl/calcChain.xml><?xml version="1.0" encoding="utf-8"?>
<calcChain xmlns="http://schemas.openxmlformats.org/spreadsheetml/2006/main">
  <c r="G27" i="12" l="1"/>
  <c r="C23" i="13"/>
  <c r="D20" i="13"/>
  <c r="C18" i="13"/>
  <c r="C19" i="13" s="1"/>
  <c r="C16" i="13"/>
  <c r="C17" i="13" s="1"/>
  <c r="C14" i="13"/>
  <c r="C15" i="13" s="1"/>
  <c r="F27" i="12"/>
  <c r="C23" i="12"/>
  <c r="D20" i="12"/>
  <c r="C18" i="12"/>
  <c r="F18" i="12" s="1"/>
  <c r="C16" i="12"/>
  <c r="C17" i="12" s="1"/>
  <c r="F17" i="12" s="1"/>
  <c r="C14" i="12"/>
  <c r="F14" i="12" s="1"/>
  <c r="F7" i="11"/>
  <c r="F11" i="11"/>
  <c r="F12" i="11" s="1"/>
  <c r="F9" i="11"/>
  <c r="F10" i="11" s="1"/>
  <c r="E12" i="11"/>
  <c r="D20" i="9"/>
  <c r="F21" i="9"/>
  <c r="D21" i="9" s="1"/>
  <c r="F23" i="9"/>
  <c r="G23" i="9"/>
  <c r="F24" i="9"/>
  <c r="G24" i="9"/>
  <c r="E7" i="11"/>
  <c r="C16" i="11"/>
  <c r="C11" i="11"/>
  <c r="E11" i="11" s="1"/>
  <c r="C9" i="11"/>
  <c r="E9" i="11" s="1"/>
  <c r="E10" i="11" s="1"/>
  <c r="C6" i="11"/>
  <c r="E6" i="11" s="1"/>
  <c r="E8" i="11" s="1"/>
  <c r="E13" i="11" s="1"/>
  <c r="E20" i="11" s="1"/>
  <c r="C25" i="9"/>
  <c r="H9" i="9"/>
  <c r="H7" i="9"/>
  <c r="E25" i="9"/>
  <c r="C20" i="13" l="1"/>
  <c r="C26" i="13" s="1"/>
  <c r="C27" i="13" s="1"/>
  <c r="F27" i="13" s="1"/>
  <c r="E14" i="13"/>
  <c r="E15" i="13" s="1"/>
  <c r="E20" i="13" s="1"/>
  <c r="E27" i="13" s="1"/>
  <c r="E16" i="13"/>
  <c r="E17" i="13" s="1"/>
  <c r="E18" i="13"/>
  <c r="E19" i="13" s="1"/>
  <c r="C15" i="12"/>
  <c r="F15" i="12" s="1"/>
  <c r="F16" i="12"/>
  <c r="D24" i="9"/>
  <c r="D23" i="9"/>
  <c r="F6" i="11"/>
  <c r="F8" i="11" s="1"/>
  <c r="F13" i="11" s="1"/>
  <c r="F20" i="11" s="1"/>
  <c r="E14" i="12"/>
  <c r="E15" i="12" s="1"/>
  <c r="E16" i="12"/>
  <c r="E17" i="12" s="1"/>
  <c r="C19" i="12"/>
  <c r="E18" i="12"/>
  <c r="E19" i="12" s="1"/>
  <c r="C8" i="11"/>
  <c r="C10" i="11"/>
  <c r="C12" i="11"/>
  <c r="G8" i="9"/>
  <c r="F8" i="9"/>
  <c r="F17" i="9" s="1"/>
  <c r="F19" i="9"/>
  <c r="D19" i="9" s="1"/>
  <c r="C6" i="9"/>
  <c r="D9" i="9"/>
  <c r="D13" i="9"/>
  <c r="D15" i="9"/>
  <c r="H15" i="9" s="1"/>
  <c r="D7" i="9"/>
  <c r="C20" i="12" l="1"/>
  <c r="C26" i="12" s="1"/>
  <c r="C27" i="12" s="1"/>
  <c r="F19" i="12"/>
  <c r="F20" i="12" s="1"/>
  <c r="E20" i="12"/>
  <c r="E27" i="12" s="1"/>
  <c r="C13" i="11"/>
  <c r="D13" i="11"/>
  <c r="D6" i="9"/>
  <c r="H6" i="9"/>
  <c r="H8" i="9" s="1"/>
  <c r="E68" i="6"/>
  <c r="C14" i="9"/>
  <c r="H14" i="9" s="1"/>
  <c r="H16" i="9" s="1"/>
  <c r="C11" i="9"/>
  <c r="C10" i="9"/>
  <c r="E67" i="6"/>
  <c r="K66" i="6"/>
  <c r="AI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F67" i="6"/>
  <c r="G45" i="4"/>
  <c r="C19" i="11" l="1"/>
  <c r="C20" i="11" s="1"/>
  <c r="G20" i="11" s="1"/>
  <c r="D10" i="9"/>
  <c r="H10" i="9" s="1"/>
  <c r="D11" i="9"/>
  <c r="H11" i="9"/>
  <c r="F25" i="9"/>
  <c r="F29" i="9" s="1"/>
  <c r="C16" i="9"/>
  <c r="D16" i="9" s="1"/>
  <c r="D14" i="9"/>
  <c r="C8" i="9"/>
  <c r="C12" i="9"/>
  <c r="D12" i="9" s="1"/>
  <c r="AI68" i="6"/>
  <c r="G68" i="6"/>
  <c r="H68" i="6"/>
  <c r="I68" i="6"/>
  <c r="J68" i="6"/>
  <c r="K68" i="6"/>
  <c r="K72" i="6" s="1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F68" i="6"/>
  <c r="AJ53" i="6"/>
  <c r="AJ42" i="6"/>
  <c r="F59" i="6"/>
  <c r="D25" i="9" l="1"/>
  <c r="C17" i="9"/>
  <c r="H12" i="9"/>
  <c r="H17" i="9" s="1"/>
  <c r="D8" i="9"/>
  <c r="D17" i="9" s="1"/>
  <c r="G25" i="9"/>
  <c r="G29" i="9" s="1"/>
  <c r="K73" i="6"/>
  <c r="K74" i="6"/>
  <c r="E17" i="9"/>
  <c r="E29" i="9" s="1"/>
  <c r="C29" i="9" l="1"/>
  <c r="C31" i="9"/>
  <c r="C32" i="9"/>
  <c r="C28" i="9"/>
  <c r="I29" i="9"/>
  <c r="I66" i="6"/>
  <c r="I72" i="6" s="1"/>
  <c r="H47" i="6"/>
  <c r="C6" i="4"/>
  <c r="C7" i="4"/>
  <c r="C5" i="4"/>
  <c r="J66" i="6"/>
  <c r="J72" i="6" s="1"/>
  <c r="L66" i="6"/>
  <c r="L72" i="6" s="1"/>
  <c r="M66" i="6"/>
  <c r="M72" i="6" s="1"/>
  <c r="N66" i="6"/>
  <c r="N72" i="6" s="1"/>
  <c r="O66" i="6"/>
  <c r="O72" i="6" s="1"/>
  <c r="P66" i="6"/>
  <c r="P72" i="6" s="1"/>
  <c r="Q66" i="6"/>
  <c r="Q72" i="6" s="1"/>
  <c r="R66" i="6"/>
  <c r="R72" i="6" s="1"/>
  <c r="S66" i="6"/>
  <c r="S72" i="6" s="1"/>
  <c r="T66" i="6"/>
  <c r="T72" i="6" s="1"/>
  <c r="U66" i="6"/>
  <c r="U72" i="6" s="1"/>
  <c r="V66" i="6"/>
  <c r="V72" i="6" s="1"/>
  <c r="W66" i="6"/>
  <c r="W72" i="6" s="1"/>
  <c r="X66" i="6"/>
  <c r="X72" i="6" s="1"/>
  <c r="Y66" i="6"/>
  <c r="Y72" i="6" s="1"/>
  <c r="Z66" i="6"/>
  <c r="Z72" i="6" s="1"/>
  <c r="AA66" i="6"/>
  <c r="AA72" i="6" s="1"/>
  <c r="AB66" i="6"/>
  <c r="AB72" i="6" s="1"/>
  <c r="AC66" i="6"/>
  <c r="AC72" i="6" s="1"/>
  <c r="AD66" i="6"/>
  <c r="AD72" i="6" s="1"/>
  <c r="AE66" i="6"/>
  <c r="AE72" i="6" s="1"/>
  <c r="AF66" i="6"/>
  <c r="AF72" i="6" s="1"/>
  <c r="AG66" i="6"/>
  <c r="AG72" i="6" s="1"/>
  <c r="AH66" i="6"/>
  <c r="AH72" i="6" s="1"/>
  <c r="F66" i="6"/>
  <c r="F72" i="6" s="1"/>
  <c r="AI66" i="6"/>
  <c r="AI72" i="6" s="1"/>
  <c r="E66" i="6"/>
  <c r="E72" i="6" s="1"/>
  <c r="F47" i="6"/>
  <c r="F62" i="6" s="1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P70" i="6" s="1"/>
  <c r="O69" i="6"/>
  <c r="N69" i="6"/>
  <c r="M69" i="6"/>
  <c r="L69" i="6"/>
  <c r="K69" i="6"/>
  <c r="J69" i="6"/>
  <c r="I69" i="6"/>
  <c r="H69" i="6"/>
  <c r="G69" i="6"/>
  <c r="F69" i="6"/>
  <c r="E69" i="6"/>
  <c r="C33" i="9" l="1"/>
  <c r="E73" i="6"/>
  <c r="E74" i="6"/>
  <c r="AI74" i="6"/>
  <c r="AI73" i="6"/>
  <c r="AB74" i="6"/>
  <c r="AB73" i="6"/>
  <c r="T73" i="6"/>
  <c r="T74" i="6"/>
  <c r="L73" i="6"/>
  <c r="L74" i="6"/>
  <c r="U73" i="6"/>
  <c r="U74" i="6"/>
  <c r="AA74" i="6"/>
  <c r="AA73" i="6"/>
  <c r="AH73" i="6"/>
  <c r="AH74" i="6"/>
  <c r="Z73" i="6"/>
  <c r="Z74" i="6"/>
  <c r="R73" i="6"/>
  <c r="R74" i="6"/>
  <c r="F74" i="6"/>
  <c r="F73" i="6"/>
  <c r="AG73" i="6"/>
  <c r="AG74" i="6"/>
  <c r="Y73" i="6"/>
  <c r="Y74" i="6"/>
  <c r="Q73" i="6"/>
  <c r="Q74" i="6"/>
  <c r="AC74" i="6"/>
  <c r="AC73" i="6"/>
  <c r="S74" i="6"/>
  <c r="S73" i="6"/>
  <c r="AF73" i="6"/>
  <c r="AF74" i="6"/>
  <c r="X73" i="6"/>
  <c r="X74" i="6"/>
  <c r="P73" i="6"/>
  <c r="P74" i="6"/>
  <c r="J73" i="6"/>
  <c r="J74" i="6"/>
  <c r="AE74" i="6"/>
  <c r="AE73" i="6"/>
  <c r="W74" i="6"/>
  <c r="W73" i="6"/>
  <c r="O74" i="6"/>
  <c r="O73" i="6"/>
  <c r="M74" i="6"/>
  <c r="M73" i="6"/>
  <c r="AD73" i="6"/>
  <c r="AD74" i="6"/>
  <c r="V74" i="6"/>
  <c r="V73" i="6"/>
  <c r="N73" i="6"/>
  <c r="N74" i="6"/>
  <c r="I73" i="6"/>
  <c r="I74" i="6"/>
  <c r="N70" i="6"/>
  <c r="AJ69" i="6"/>
  <c r="Q70" i="6"/>
  <c r="AJ68" i="6"/>
  <c r="Y70" i="6"/>
  <c r="R70" i="6"/>
  <c r="Z70" i="6"/>
  <c r="AH70" i="6"/>
  <c r="S70" i="6"/>
  <c r="AB70" i="6"/>
  <c r="L70" i="6"/>
  <c r="AD70" i="6"/>
  <c r="AA70" i="6"/>
  <c r="K70" i="6"/>
  <c r="I70" i="6"/>
  <c r="J70" i="6"/>
  <c r="E70" i="6"/>
  <c r="T70" i="6"/>
  <c r="AE70" i="6"/>
  <c r="W70" i="6"/>
  <c r="O70" i="6"/>
  <c r="AG70" i="6"/>
  <c r="AI70" i="6"/>
  <c r="AF70" i="6"/>
  <c r="X70" i="6"/>
  <c r="V70" i="6"/>
  <c r="F70" i="6"/>
  <c r="AJ67" i="6"/>
  <c r="I47" i="6"/>
  <c r="H66" i="6"/>
  <c r="M70" i="6"/>
  <c r="U70" i="6"/>
  <c r="AC70" i="6"/>
  <c r="H18" i="4"/>
  <c r="H20" i="4" s="1"/>
  <c r="G18" i="4"/>
  <c r="G20" i="4" s="1"/>
  <c r="F18" i="4"/>
  <c r="F20" i="4" s="1"/>
  <c r="C16" i="4"/>
  <c r="C15" i="4"/>
  <c r="C18" i="4" l="1"/>
  <c r="C20" i="4" s="1"/>
  <c r="H70" i="6"/>
  <c r="H72" i="6"/>
  <c r="D15" i="4"/>
  <c r="E15" i="4" s="1"/>
  <c r="D16" i="4"/>
  <c r="G59" i="6"/>
  <c r="H59" i="6"/>
  <c r="H62" i="6" s="1"/>
  <c r="I59" i="6"/>
  <c r="I62" i="6" s="1"/>
  <c r="J59" i="6"/>
  <c r="J62" i="6" s="1"/>
  <c r="H73" i="6" l="1"/>
  <c r="H74" i="6"/>
  <c r="D18" i="4"/>
  <c r="D20" i="4" s="1"/>
  <c r="E16" i="4"/>
  <c r="E18" i="4" s="1"/>
  <c r="E20" i="4" s="1"/>
  <c r="AJ46" i="6"/>
  <c r="AJ37" i="6"/>
  <c r="AJ36" i="6"/>
  <c r="F45" i="4"/>
  <c r="F47" i="4" s="1"/>
  <c r="G47" i="4"/>
  <c r="H45" i="4"/>
  <c r="H47" i="4" s="1"/>
  <c r="K59" i="6" l="1"/>
  <c r="K62" i="6" s="1"/>
  <c r="K63" i="6" s="1"/>
  <c r="L59" i="6"/>
  <c r="L62" i="6" s="1"/>
  <c r="L63" i="6" s="1"/>
  <c r="M59" i="6"/>
  <c r="M62" i="6" s="1"/>
  <c r="M63" i="6" s="1"/>
  <c r="N59" i="6"/>
  <c r="N62" i="6" s="1"/>
  <c r="N63" i="6" s="1"/>
  <c r="O59" i="6"/>
  <c r="O62" i="6" s="1"/>
  <c r="O63" i="6" s="1"/>
  <c r="P59" i="6"/>
  <c r="P62" i="6" s="1"/>
  <c r="P63" i="6" s="1"/>
  <c r="Q59" i="6"/>
  <c r="Q62" i="6" s="1"/>
  <c r="Q63" i="6" s="1"/>
  <c r="R59" i="6"/>
  <c r="R62" i="6" s="1"/>
  <c r="R63" i="6" s="1"/>
  <c r="S59" i="6"/>
  <c r="S62" i="6" s="1"/>
  <c r="S63" i="6" s="1"/>
  <c r="T59" i="6"/>
  <c r="T62" i="6" s="1"/>
  <c r="T63" i="6" s="1"/>
  <c r="U59" i="6"/>
  <c r="U62" i="6" s="1"/>
  <c r="U63" i="6" s="1"/>
  <c r="V59" i="6"/>
  <c r="V62" i="6" s="1"/>
  <c r="V63" i="6" s="1"/>
  <c r="W59" i="6"/>
  <c r="W62" i="6" s="1"/>
  <c r="W63" i="6" s="1"/>
  <c r="X59" i="6"/>
  <c r="X62" i="6" s="1"/>
  <c r="X63" i="6" s="1"/>
  <c r="Y59" i="6"/>
  <c r="Y62" i="6" s="1"/>
  <c r="Y63" i="6" s="1"/>
  <c r="Z59" i="6"/>
  <c r="Z62" i="6" s="1"/>
  <c r="Z63" i="6" s="1"/>
  <c r="AA59" i="6"/>
  <c r="AA62" i="6" s="1"/>
  <c r="AA63" i="6" s="1"/>
  <c r="AB59" i="6"/>
  <c r="AB62" i="6" s="1"/>
  <c r="AB63" i="6" s="1"/>
  <c r="AC59" i="6"/>
  <c r="AC62" i="6" s="1"/>
  <c r="AC63" i="6" s="1"/>
  <c r="AD59" i="6"/>
  <c r="AD62" i="6" s="1"/>
  <c r="AD63" i="6" s="1"/>
  <c r="AE59" i="6"/>
  <c r="AE62" i="6" s="1"/>
  <c r="AE63" i="6" s="1"/>
  <c r="AF59" i="6"/>
  <c r="AF62" i="6" s="1"/>
  <c r="AF63" i="6" s="1"/>
  <c r="AG59" i="6"/>
  <c r="AG62" i="6" s="1"/>
  <c r="AG63" i="6" s="1"/>
  <c r="AH59" i="6"/>
  <c r="AH62" i="6" s="1"/>
  <c r="AH63" i="6" s="1"/>
  <c r="AI59" i="6"/>
  <c r="AI62" i="6" s="1"/>
  <c r="AI63" i="6" s="1"/>
  <c r="E59" i="6"/>
  <c r="AJ52" i="6"/>
  <c r="F78" i="4"/>
  <c r="G78" i="4"/>
  <c r="H78" i="4"/>
  <c r="C33" i="4"/>
  <c r="C76" i="4"/>
  <c r="C85" i="4"/>
  <c r="C84" i="4"/>
  <c r="H69" i="4"/>
  <c r="H71" i="4" s="1"/>
  <c r="G69" i="4"/>
  <c r="G71" i="4" s="1"/>
  <c r="F69" i="4"/>
  <c r="F71" i="4" s="1"/>
  <c r="C67" i="4"/>
  <c r="C69" i="4" s="1"/>
  <c r="C71" i="4" s="1"/>
  <c r="H61" i="4"/>
  <c r="H63" i="4" s="1"/>
  <c r="G61" i="4"/>
  <c r="G63" i="4" s="1"/>
  <c r="F61" i="4"/>
  <c r="F63" i="4" s="1"/>
  <c r="C59" i="4"/>
  <c r="C61" i="4" s="1"/>
  <c r="C63" i="4" s="1"/>
  <c r="H53" i="4"/>
  <c r="H55" i="4" s="1"/>
  <c r="G53" i="4"/>
  <c r="G55" i="4" s="1"/>
  <c r="F53" i="4"/>
  <c r="F55" i="4" s="1"/>
  <c r="C51" i="4"/>
  <c r="C53" i="4" s="1"/>
  <c r="C55" i="4" s="1"/>
  <c r="K64" i="6" l="1"/>
  <c r="K65" i="6" s="1"/>
  <c r="E60" i="6"/>
  <c r="AJ59" i="6"/>
  <c r="D51" i="4"/>
  <c r="D53" i="4" s="1"/>
  <c r="D55" i="4" s="1"/>
  <c r="D67" i="4"/>
  <c r="D69" i="4" s="1"/>
  <c r="D71" i="4" s="1"/>
  <c r="D59" i="4"/>
  <c r="D61" i="4" s="1"/>
  <c r="D63" i="4" s="1"/>
  <c r="E67" i="4" l="1"/>
  <c r="E69" i="4" s="1"/>
  <c r="E71" i="4" s="1"/>
  <c r="E51" i="4"/>
  <c r="E53" i="4" s="1"/>
  <c r="E55" i="4" s="1"/>
  <c r="E59" i="4"/>
  <c r="E61" i="4" s="1"/>
  <c r="E63" i="4" s="1"/>
  <c r="C40" i="4" l="1"/>
  <c r="D40" i="4" s="1"/>
  <c r="E40" i="4" l="1"/>
  <c r="D76" i="4"/>
  <c r="D78" i="4" s="1"/>
  <c r="E76" i="4" l="1"/>
  <c r="E78" i="4" s="1"/>
  <c r="H27" i="4"/>
  <c r="H29" i="4" s="1"/>
  <c r="G27" i="4"/>
  <c r="G29" i="4" s="1"/>
  <c r="F27" i="4"/>
  <c r="F29" i="4" s="1"/>
  <c r="C25" i="4"/>
  <c r="C27" i="4" s="1"/>
  <c r="C29" i="4" s="1"/>
  <c r="D33" i="4"/>
  <c r="H9" i="4"/>
  <c r="H11" i="4" s="1"/>
  <c r="H87" i="4"/>
  <c r="H35" i="4"/>
  <c r="H80" i="4" l="1"/>
  <c r="D25" i="4"/>
  <c r="E33" i="4"/>
  <c r="D27" i="4" l="1"/>
  <c r="D29" i="4" s="1"/>
  <c r="E25" i="4"/>
  <c r="E27" i="4" s="1"/>
  <c r="E29" i="4" s="1"/>
  <c r="C42" i="4" l="1"/>
  <c r="D42" i="4" s="1"/>
  <c r="E42" i="4" l="1"/>
  <c r="C39" i="4" l="1"/>
  <c r="C43" i="4"/>
  <c r="D43" i="4" s="1"/>
  <c r="D39" i="4" l="1"/>
  <c r="E43" i="4"/>
  <c r="E39" i="4" l="1"/>
  <c r="D7" i="4"/>
  <c r="E7" i="4" s="1"/>
  <c r="C41" i="4"/>
  <c r="D41" i="4" s="1"/>
  <c r="E41" i="4" s="1"/>
  <c r="F35" i="4"/>
  <c r="G35" i="4"/>
  <c r="D6" i="4"/>
  <c r="E6" i="4" s="1"/>
  <c r="D5" i="4"/>
  <c r="D45" i="4" l="1"/>
  <c r="D47" i="4" s="1"/>
  <c r="E45" i="4"/>
  <c r="E47" i="4" s="1"/>
  <c r="E5" i="4"/>
  <c r="F87" i="4"/>
  <c r="G87" i="4"/>
  <c r="C9" i="4" l="1"/>
  <c r="C11" i="4" s="1"/>
  <c r="D85" i="4"/>
  <c r="E85" i="4" s="1"/>
  <c r="F9" i="4"/>
  <c r="F11" i="4" s="1"/>
  <c r="F80" i="4" s="1"/>
  <c r="G9" i="4"/>
  <c r="G11" i="4" s="1"/>
  <c r="G80" i="4" s="1"/>
  <c r="I80" i="4" l="1"/>
  <c r="G32" i="6"/>
  <c r="C78" i="4"/>
  <c r="G66" i="6" l="1"/>
  <c r="G72" i="6" s="1"/>
  <c r="G47" i="6"/>
  <c r="G62" i="6" s="1"/>
  <c r="AJ32" i="6"/>
  <c r="D84" i="4"/>
  <c r="D87" i="4" s="1"/>
  <c r="C45" i="4"/>
  <c r="C47" i="4" s="1"/>
  <c r="C35" i="4"/>
  <c r="G74" i="6" l="1"/>
  <c r="AJ74" i="6" s="1"/>
  <c r="G73" i="6"/>
  <c r="AJ73" i="6" s="1"/>
  <c r="AJ72" i="6"/>
  <c r="C80" i="4"/>
  <c r="E35" i="6"/>
  <c r="E47" i="6" s="1"/>
  <c r="E62" i="6" s="1"/>
  <c r="E64" i="6" s="1"/>
  <c r="G70" i="6"/>
  <c r="AJ70" i="6" s="1"/>
  <c r="AJ66" i="6"/>
  <c r="C87" i="4"/>
  <c r="AJ64" i="6" l="1"/>
  <c r="E65" i="6"/>
  <c r="AJ65" i="6" s="1"/>
  <c r="AJ35" i="6"/>
  <c r="AJ48" i="6" s="1"/>
  <c r="AJ47" i="6"/>
  <c r="AK47" i="6" s="1"/>
  <c r="AL47" i="6" s="1"/>
  <c r="E48" i="6"/>
  <c r="D35" i="4"/>
  <c r="E35" i="4" l="1"/>
  <c r="E9" i="4" l="1"/>
  <c r="E11" i="4" s="1"/>
  <c r="E80" i="4" s="1"/>
  <c r="D9" i="4"/>
  <c r="D11" i="4" s="1"/>
  <c r="D80" i="4" s="1"/>
  <c r="E84" i="4"/>
  <c r="E87" i="4" s="1"/>
</calcChain>
</file>

<file path=xl/sharedStrings.xml><?xml version="1.0" encoding="utf-8"?>
<sst xmlns="http://schemas.openxmlformats.org/spreadsheetml/2006/main" count="882" uniqueCount="186">
  <si>
    <t>Coût HT</t>
  </si>
  <si>
    <t>TVA (20%)</t>
  </si>
  <si>
    <t>Coût TTC</t>
  </si>
  <si>
    <t>Prestation</t>
  </si>
  <si>
    <t>Total</t>
  </si>
  <si>
    <t>Sous-total pour 1 campagne</t>
  </si>
  <si>
    <t>SIMETHIS</t>
  </si>
  <si>
    <t>ECO-COMPENSATION</t>
  </si>
  <si>
    <t>Prestataire</t>
  </si>
  <si>
    <t>Rédaction de la fiche préparatoire à la saisie dans GéoMCE et transmission des données au format SINP après chaque campagne</t>
  </si>
  <si>
    <t>Rédaction d'un compte-rendu à l'issue de chaque comités de suivi</t>
  </si>
  <si>
    <t>Pilotage et coordination</t>
  </si>
  <si>
    <t>TOTAL SUIVIS ECOLOGIQUES ET PILOTAGE</t>
  </si>
  <si>
    <t>Rédaction d'un bilan de fin des mesures compensatoires</t>
  </si>
  <si>
    <t>Animation des comités de suivi avec les services de l'état pour le compte de la MO incluant un PWP et une participation des différents experts</t>
  </si>
  <si>
    <t>Prestation optionnelle 
(à la demande de la DREAL)</t>
  </si>
  <si>
    <t>Mises à jour du plan  par période de 5 ans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</si>
  <si>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</si>
  <si>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</si>
  <si>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</si>
  <si>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</si>
  <si>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</si>
  <si>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</si>
  <si>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</si>
  <si>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</si>
  <si>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</si>
  <si>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</si>
  <si>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N+11</t>
  </si>
  <si>
    <t>N+12</t>
  </si>
  <si>
    <t>N+13</t>
  </si>
  <si>
    <t>N+14</t>
  </si>
  <si>
    <t>N+15</t>
  </si>
  <si>
    <t>N+16</t>
  </si>
  <si>
    <t>N+17</t>
  </si>
  <si>
    <t>N+18</t>
  </si>
  <si>
    <t>N+19</t>
  </si>
  <si>
    <t>N+20</t>
  </si>
  <si>
    <t>N+21</t>
  </si>
  <si>
    <t>N+22</t>
  </si>
  <si>
    <t>N+23</t>
  </si>
  <si>
    <t>N+24</t>
  </si>
  <si>
    <t>N+25</t>
  </si>
  <si>
    <t>N+26</t>
  </si>
  <si>
    <t>N+27</t>
  </si>
  <si>
    <t>N+28</t>
  </si>
  <si>
    <t>N+29</t>
  </si>
  <si>
    <t>X</t>
  </si>
  <si>
    <t>Rédaction d'un rapport de suivi écologique de l'espace de compensation et du site projet incluant un bilan</t>
  </si>
  <si>
    <t>Coordination de l'équipe projet et des entreprises travaux</t>
  </si>
  <si>
    <t>Mise à jour du plan de gestion</t>
  </si>
  <si>
    <t>Suivi amphibiens (1 passage nocturne)</t>
  </si>
  <si>
    <t>Comité de suivi à l'unité</t>
  </si>
  <si>
    <t>Encadrement écologique des opérations de génie ecogiques (Travaux uniques et d'entretien)</t>
  </si>
  <si>
    <t>Mises à jour du plan de gestion tous les 5 ans</t>
  </si>
  <si>
    <t>Mises à jour du plan de gestion</t>
  </si>
  <si>
    <t xml:space="preserve">Encadrement écologique </t>
  </si>
  <si>
    <t>1 demie-journée</t>
  </si>
  <si>
    <t>Etat initial et suivis écologiques de l'espace de compensation</t>
  </si>
  <si>
    <t>PILOTAGE ET SUIVIS ECOLOGIQUES</t>
  </si>
  <si>
    <t>TRAVAUX DE GENIE ECOLOGIQUE</t>
  </si>
  <si>
    <t>Code mesure</t>
  </si>
  <si>
    <t>Encadrement écologique des opérations de génie éclogiques 
(travaux uniques et d'entretien) incluant un CR</t>
  </si>
  <si>
    <t>MG 1</t>
  </si>
  <si>
    <t>MG 2</t>
  </si>
  <si>
    <t>SE 2</t>
  </si>
  <si>
    <t>TU 1</t>
  </si>
  <si>
    <t>TU 2</t>
  </si>
  <si>
    <t>TU 3</t>
  </si>
  <si>
    <t>TE 1</t>
  </si>
  <si>
    <t>Travaux de génie écologique (travaux uniques)</t>
  </si>
  <si>
    <t>Travaux de génie écologique (travaux d'entretien)</t>
  </si>
  <si>
    <t>Total à l'unité</t>
  </si>
  <si>
    <t>Sondages pédologiques à la tarière à main</t>
  </si>
  <si>
    <t>Rédaction d'un rapport de suivi</t>
  </si>
  <si>
    <t>Interface avec les services de l'état pour le compte de la SAS BEOLETTO</t>
  </si>
  <si>
    <t>²</t>
  </si>
  <si>
    <t>Bilan annuel  incluant un CR 
(fiche synthèse avec tableau de bord )</t>
  </si>
  <si>
    <t>SE 1</t>
  </si>
  <si>
    <t>TOTAL ESTIMATIF HORS TAXES PAR AN</t>
  </si>
  <si>
    <t>3 demies-journées</t>
  </si>
  <si>
    <t>Suivi entomofaune (3 passages)</t>
  </si>
  <si>
    <t>Suivi floristique (1 passage habitats naturels et EEE)</t>
  </si>
  <si>
    <t>CERAG</t>
  </si>
  <si>
    <t>Etat initial et suivis piézométriques de la zone humide compensatoire</t>
  </si>
  <si>
    <t>Etat initial et suivis pédologiques de la zone humide compensatoire</t>
  </si>
  <si>
    <t>Etat initial et suivis piézométriques et pédologiques de la zone humide compensatoire et zone humide évitée</t>
  </si>
  <si>
    <t xml:space="preserve"> Création de 2 dépressions humides par étrépage 
(30 cm) - environ 2 x 200 m²</t>
  </si>
  <si>
    <t>Travaux de décapage (50 cm) + imperméablisation argile sur les deux dépressions</t>
  </si>
  <si>
    <t>Création d'un seuil en rondins de bois (option)</t>
  </si>
  <si>
    <t>Etat initial et suivis piézomériques et pédologiques de la zone humide compensatoire</t>
  </si>
  <si>
    <t>SE 4</t>
  </si>
  <si>
    <t>SE 1 et SE2</t>
  </si>
  <si>
    <t>Etat initial et suivis hydromorphologique du fossé</t>
  </si>
  <si>
    <t>SE 3</t>
  </si>
  <si>
    <t>Suivi hydromorphologique et rédaction d'un rapport de suivi</t>
  </si>
  <si>
    <t>Equipements des piézomètres avec des sondes et remplacement au bout de 10 ans</t>
  </si>
  <si>
    <t>Pose de 2 piézomètres incluant la maintance tous les 5 ans*</t>
  </si>
  <si>
    <t>Travaux de décapage (50 cm) sur les deux dépressions</t>
  </si>
  <si>
    <t>Si nécéssaire à l'issue des premiers suivis</t>
  </si>
  <si>
    <t>Suppression et évacuation des ligneux</t>
  </si>
  <si>
    <t>Entretien des landes humides</t>
  </si>
  <si>
    <t>Campagnes de sondages pédologiques au droit de la zone humide compensatoire 1 campagne par an sur les 5 premières années (N+1, N+2, N+3, N+4 et N+5)  puis sur les années N+10, N+15, N+20, N+25 et N+30  à la fin de l'hiver - début printemps</t>
  </si>
  <si>
    <t>Relevés des sondes à raison de 2 relevés par an sur les 5 premières années (N+1, N+2, N+3, N+4 et N+5) et sur les années N+10, N+15, N+20, N+25 et N+30</t>
  </si>
  <si>
    <t xml:space="preserve">Relevés des sondes à raison de 2 relevés par an sur les 5 premières années puis tous les 5 ans </t>
  </si>
  <si>
    <t>2 relevés</t>
  </si>
  <si>
    <t>Etat de référence</t>
  </si>
  <si>
    <t>N</t>
  </si>
  <si>
    <t>Total pour les 13 campagnes</t>
  </si>
  <si>
    <t>Résumé non technique en fin de chaque campagne de suivi</t>
  </si>
  <si>
    <t>Pilotage et coordination
(hors période de suivi)</t>
  </si>
  <si>
    <t>Total pour les 20 campagnes</t>
  </si>
  <si>
    <t>Total pour les 11 campagnes</t>
  </si>
  <si>
    <t>Si nécéssaire</t>
  </si>
  <si>
    <t>Rédaction d'un rapport de suivi de l'espace de compensation incluant un bilan</t>
  </si>
  <si>
    <t>Rédaction d'un rapport de suivi écologique de l'espace de compensation incluant un bilan</t>
  </si>
  <si>
    <t>Total pour 1 campagne</t>
  </si>
  <si>
    <t>Rédaction d'un rapport de suivis hydrogéologiques et pédologiques</t>
  </si>
  <si>
    <t>Pose de 1 piézomètres  incluant la maintance tous les 5 ans et le remplacement au bout de 15 ans</t>
  </si>
  <si>
    <t>Suivi hydromorphologique</t>
  </si>
  <si>
    <t>Etat initial et suivis piézométriques, pédologiques et hydromorpholohiques de la zone humide compensatoire</t>
  </si>
  <si>
    <t>Suivi écologique des travaux de génie écologique incluant un CR 
(13 demies-journées)</t>
  </si>
  <si>
    <t>-</t>
  </si>
  <si>
    <t>EGAN AQUITAINE</t>
  </si>
  <si>
    <t>Installation et repli de chantier inlaunt la mise en place d'un grillage à mouton</t>
  </si>
  <si>
    <t xml:space="preserve"> Création de 2 dépressions humides par étrépage 
(50 cm) - environ 2 x 200 m²</t>
  </si>
  <si>
    <t>Création d'un seuil en rondins de bois</t>
  </si>
  <si>
    <t>TOTAL ESTIMATIF HORS TAXES PAR AN (incluant un aléas 20 % sur 25 dernières années)</t>
  </si>
  <si>
    <t>Suivi entomofaune (2 passages)</t>
  </si>
  <si>
    <t>TOTAL ESTIMATIFTOUTES TAXES COMPRISES TAXES PAR 31 ANS (TVA 20 %)</t>
  </si>
  <si>
    <t>TOTAL ESTIMATIF HORS TAXES PAR 31 ANS</t>
  </si>
  <si>
    <t>TOTAL HT ECO/SIMETHIS/CERAG</t>
  </si>
  <si>
    <t>Acompte de 30 % HT</t>
  </si>
  <si>
    <t>Solde 70 % HT</t>
  </si>
  <si>
    <t>STRUCTURE</t>
  </si>
  <si>
    <t>PRESTATION</t>
  </si>
  <si>
    <t>MONTANT DU MARCHE HT</t>
  </si>
  <si>
    <t>DEJA FACTURE</t>
  </si>
  <si>
    <t>SIMETHIS (SOUS-TRAITANT)</t>
  </si>
  <si>
    <t>Pose et équipement du piézomètre</t>
  </si>
  <si>
    <t>FACTURATION ECO-COMPENSATION</t>
  </si>
  <si>
    <t>TOTAL ANNEE 2023</t>
  </si>
  <si>
    <t>RESTANT A FACTURER TTC</t>
  </si>
  <si>
    <t>CERAG (SOUS-TRAITANT)</t>
  </si>
  <si>
    <t>EGAN Aquitaine (CO-TRAITANT)</t>
  </si>
  <si>
    <t>FACTURATION EGAN Aquitaine</t>
  </si>
  <si>
    <t>Mise en place d'une clôture en grillage à mouton avec piquets bois - 200 ml</t>
  </si>
  <si>
    <t>Réalisé</t>
  </si>
  <si>
    <t xml:space="preserve">Mesure supprimée (absence d’effet notable + conflit d’usage) </t>
  </si>
  <si>
    <t>Projeté</t>
  </si>
  <si>
    <t>Travaux de génie écologique 
(travaux d'entretien)</t>
  </si>
  <si>
    <t>Travaux de génie écologique 
(travaux uniques)</t>
  </si>
  <si>
    <t>33689 - DECOMPTE GENERAL ANNEE 2023</t>
  </si>
  <si>
    <t>QUATRIEME ACOMPTE HT</t>
  </si>
  <si>
    <t>DONT PREMIER ACOMPTE HT</t>
  </si>
  <si>
    <t>DONT DEUXIEME ACOMPTE HT</t>
  </si>
  <si>
    <t>DONT TROISIEME ACOMPTE HT</t>
  </si>
  <si>
    <t>COMMENTAIRES</t>
  </si>
  <si>
    <t>PREVISONNEL 2023</t>
  </si>
  <si>
    <t>FIN DE MISSION 2023</t>
  </si>
  <si>
    <t>TOTAL DÉJÀ  FACTURE HT</t>
  </si>
  <si>
    <t>TOTAL ACOMPTE A PAYER HT</t>
  </si>
  <si>
    <t>Prestation non réalisée
(-1 300,00 €)</t>
  </si>
  <si>
    <t>Prestation non réalisée
(-1 500,00 €)</t>
  </si>
  <si>
    <t>Prestation non réalisée
(-1 775,00 €)</t>
  </si>
  <si>
    <t>33689 - DECOMPTE GENERAL ANNEE 2024</t>
  </si>
  <si>
    <t>PREMIER ACOMPTE HT</t>
  </si>
  <si>
    <t>Absence de travaux en 2024</t>
  </si>
  <si>
    <t>PREVISONNEL 2024</t>
  </si>
  <si>
    <t>TOTAL ANNEE 2024</t>
  </si>
  <si>
    <t>FIN DE MISSION 2024</t>
  </si>
  <si>
    <t>Eco-Compensation : FIN DE MISSION 2023</t>
  </si>
  <si>
    <t>Eco-Compensation : PREVISONNEL 2023</t>
  </si>
  <si>
    <t>Eco-Compensation : différence</t>
  </si>
  <si>
    <t>DEUXIEME ACOMPTE HT</t>
  </si>
  <si>
    <t>TOTAL FACTURE HT</t>
  </si>
  <si>
    <t>non réalisée</t>
  </si>
  <si>
    <t>33689 - DECOMPTE GENERAL ANNEE 2025</t>
  </si>
  <si>
    <t>Absence de travaux en 2025</t>
  </si>
  <si>
    <t>TOTAL ANNEE 2025</t>
  </si>
  <si>
    <t>PREVISONNEL 2025</t>
  </si>
  <si>
    <t>FIN DE MISSION 2025</t>
  </si>
  <si>
    <t>FACTURE HT</t>
  </si>
  <si>
    <t>33689 - DECOMPTE GENERAL ANNEE 2026</t>
  </si>
  <si>
    <t>TOTAL ANNEE 2026</t>
  </si>
  <si>
    <t>PREVISONNEL 2026</t>
  </si>
  <si>
    <t>FIN DE MISSION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</si>
</sst>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40C]_-;\-* #,##0.00\ [$€-40C]_-;_-* &quot;-&quot;??\ [$€-40C]_-;_-@_-"/>
  </numFmts>
  <fonts count="1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Verdana"/>
      <family val="2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6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9"/>
      <color theme="0"/>
      <name val="Verdana"/>
      <family val="2"/>
    </font>
    <font>
      <i/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1499679555650502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/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rgb="FFFFC000"/>
      </left>
      <right style="thin">
        <color theme="0" tint="-0.24994659260841701"/>
      </right>
      <top style="medium">
        <color rgb="FFFFC00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FFC000"/>
      </top>
      <bottom/>
      <diagonal/>
    </border>
    <border>
      <left style="thin">
        <color theme="0" tint="-0.24994659260841701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rgb="FFFFC000"/>
      </right>
      <top style="thin">
        <color theme="0" tint="-0.24994659260841701"/>
      </top>
      <bottom/>
      <diagonal/>
    </border>
    <border>
      <left style="medium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C000"/>
      </right>
      <top/>
      <bottom style="thin">
        <color theme="0" tint="-0.24994659260841701"/>
      </bottom>
      <diagonal/>
    </border>
    <border>
      <left style="medium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C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C000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rgb="FFFFC000"/>
      </right>
      <top style="medium">
        <color indexed="64"/>
      </top>
      <bottom style="medium">
        <color indexed="64"/>
      </bottom>
      <diagonal/>
    </border>
    <border>
      <left style="medium">
        <color rgb="FFFFC000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C000"/>
      </right>
      <top style="medium">
        <color indexed="64"/>
      </top>
      <bottom style="thin">
        <color theme="0" tint="-0.24994659260841701"/>
      </bottom>
      <diagonal/>
    </border>
    <border>
      <left style="medium">
        <color rgb="FFFFC000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rgb="FFFFC000"/>
      </right>
      <top style="thin">
        <color theme="0" tint="-0.24994659260841701"/>
      </top>
      <bottom style="medium">
        <color indexed="64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 style="thin">
        <color theme="1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 style="thin">
        <color theme="1"/>
      </right>
      <top style="thin">
        <color theme="0" tint="-4.9989318521683403E-2"/>
      </top>
      <bottom style="thin">
        <color theme="1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1"/>
      </top>
      <bottom style="thin">
        <color theme="1"/>
      </bottom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rgb="FFFFC000"/>
      </left>
      <right style="thin">
        <color theme="0" tint="-4.9989318521683403E-2"/>
      </right>
      <top style="medium">
        <color rgb="FFFFC00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rgb="FFFFC00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FFC000"/>
      </right>
      <top style="medium">
        <color rgb="FFFFC000"/>
      </top>
      <bottom style="thin">
        <color theme="0" tint="-4.9989318521683403E-2"/>
      </bottom>
      <diagonal/>
    </border>
    <border>
      <left style="medium">
        <color rgb="FFFFC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FFC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FFC000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rgb="FFFFC000"/>
      </right>
      <top style="thin">
        <color theme="0" tint="-4.9989318521683403E-2"/>
      </top>
      <bottom/>
      <diagonal/>
    </border>
    <border>
      <left style="medium">
        <color rgb="FFFFC000"/>
      </left>
      <right style="thin">
        <color theme="0" tint="-4.9989318521683403E-2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medium">
        <color rgb="FFFFC000"/>
      </right>
      <top style="thin">
        <color theme="1"/>
      </top>
      <bottom style="thin">
        <color theme="1"/>
      </bottom>
      <diagonal/>
    </border>
    <border>
      <left style="medium">
        <color rgb="FFFFC000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medium">
        <color rgb="FFFFC000"/>
      </right>
      <top/>
      <bottom/>
      <diagonal/>
    </border>
    <border>
      <left style="medium">
        <color rgb="FFFFC000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FFC000"/>
      </right>
      <top style="thin">
        <color theme="1"/>
      </top>
      <bottom style="thin">
        <color theme="0" tint="-4.9989318521683403E-2"/>
      </bottom>
      <diagonal/>
    </border>
    <border>
      <left style="medium">
        <color rgb="FFFFC000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 style="medium">
        <color rgb="FFFFC000"/>
      </right>
      <top style="thin">
        <color theme="0" tint="-4.9989318521683403E-2"/>
      </top>
      <bottom style="thin">
        <color theme="1"/>
      </bottom>
      <diagonal/>
    </border>
    <border>
      <left style="medium">
        <color rgb="FFFFC000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FFC000"/>
      </right>
      <top/>
      <bottom style="thin">
        <color theme="0" tint="-4.9989318521683403E-2"/>
      </bottom>
      <diagonal/>
    </border>
    <border>
      <left style="medium">
        <color rgb="FFFFC000"/>
      </left>
      <right style="thin">
        <color theme="0" tint="-4.9989318521683403E-2"/>
      </right>
      <top/>
      <bottom style="medium">
        <color rgb="FFFFC00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medium">
        <color rgb="FFFFC000"/>
      </bottom>
      <diagonal/>
    </border>
    <border>
      <left style="thin">
        <color theme="0" tint="-4.9989318521683403E-2"/>
      </left>
      <right style="medium">
        <color rgb="FFFFC000"/>
      </right>
      <top/>
      <bottom style="medium">
        <color rgb="FFFFC000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medium">
        <color rgb="FFFFC000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theme="0" tint="-4.9989318521683403E-2"/>
      </right>
      <top style="thin">
        <color theme="0" tint="-4.9989318521683403E-2"/>
      </top>
      <bottom style="medium">
        <color rgb="FFFFC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rgb="FFFFC000"/>
      </bottom>
      <diagonal/>
    </border>
    <border>
      <left style="thin">
        <color theme="0" tint="-4.9989318521683403E-2"/>
      </left>
      <right style="medium">
        <color rgb="FFFFC000"/>
      </right>
      <top style="thin">
        <color theme="0" tint="-4.9989318521683403E-2"/>
      </top>
      <bottom style="medium">
        <color rgb="FFFFC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FFC000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38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2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9" borderId="0" xfId="0" applyFill="1"/>
    <xf numFmtId="0" fontId="10" fillId="0" borderId="3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20" fontId="11" fillId="9" borderId="12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9" borderId="11" xfId="0" applyNumberFormat="1" applyFont="1" applyFill="1" applyBorder="1" applyAlignment="1">
      <alignment horizontal="center" vertical="center"/>
    </xf>
    <xf numFmtId="164" fontId="10" fillId="9" borderId="9" xfId="0" applyNumberFormat="1" applyFont="1" applyFill="1" applyBorder="1" applyAlignment="1">
      <alignment horizontal="center" vertical="center" wrapText="1"/>
    </xf>
    <xf numFmtId="164" fontId="10" fillId="9" borderId="9" xfId="0" applyNumberFormat="1" applyFont="1" applyFill="1" applyBorder="1" applyAlignment="1">
      <alignment horizontal="center" vertical="center"/>
    </xf>
    <xf numFmtId="164" fontId="10" fillId="9" borderId="10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9" borderId="21" xfId="0" applyNumberFormat="1" applyFont="1" applyFill="1" applyBorder="1" applyAlignment="1">
      <alignment horizontal="center" vertical="center"/>
    </xf>
    <xf numFmtId="164" fontId="10" fillId="9" borderId="14" xfId="0" applyNumberFormat="1" applyFont="1" applyFill="1" applyBorder="1" applyAlignment="1">
      <alignment horizontal="center" vertical="center" wrapText="1"/>
    </xf>
    <xf numFmtId="164" fontId="10" fillId="9" borderId="18" xfId="0" applyNumberFormat="1" applyFont="1" applyFill="1" applyBorder="1" applyAlignment="1">
      <alignment horizontal="center" vertical="center" wrapText="1"/>
    </xf>
    <xf numFmtId="164" fontId="10" fillId="0" borderId="22" xfId="0" applyNumberFormat="1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10" fillId="9" borderId="10" xfId="0" applyNumberFormat="1" applyFont="1" applyFill="1" applyBorder="1" applyAlignment="1">
      <alignment horizontal="center" vertical="center" wrapText="1"/>
    </xf>
    <xf numFmtId="164" fontId="10" fillId="9" borderId="16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26" xfId="0" applyBorder="1"/>
    <xf numFmtId="0" fontId="0" fillId="0" borderId="27" xfId="0" applyBorder="1"/>
    <xf numFmtId="164" fontId="10" fillId="9" borderId="28" xfId="0" applyNumberFormat="1" applyFont="1" applyFill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29" xfId="0" applyBorder="1"/>
    <xf numFmtId="164" fontId="10" fillId="0" borderId="1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64" fontId="10" fillId="0" borderId="25" xfId="0" applyNumberFormat="1" applyFont="1" applyBorder="1" applyAlignment="1">
      <alignment horizontal="center" vertical="center" wrapText="1"/>
    </xf>
    <xf numFmtId="164" fontId="10" fillId="9" borderId="11" xfId="0" applyNumberFormat="1" applyFont="1" applyFill="1" applyBorder="1" applyAlignment="1">
      <alignment horizontal="center" vertical="center" wrapText="1"/>
    </xf>
    <xf numFmtId="20" fontId="11" fillId="0" borderId="4" xfId="0" applyNumberFormat="1" applyFont="1" applyBorder="1" applyAlignment="1">
      <alignment horizontal="center" vertical="center" wrapText="1"/>
    </xf>
    <xf numFmtId="20" fontId="10" fillId="0" borderId="4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vertical="center" wrapText="1"/>
    </xf>
    <xf numFmtId="164" fontId="10" fillId="0" borderId="6" xfId="0" applyNumberFormat="1" applyFont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20" fontId="10" fillId="0" borderId="34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9" fillId="8" borderId="36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164" fontId="10" fillId="0" borderId="37" xfId="0" applyNumberFormat="1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164" fontId="10" fillId="9" borderId="38" xfId="0" applyNumberFormat="1" applyFont="1" applyFill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 wrapText="1"/>
    </xf>
    <xf numFmtId="164" fontId="10" fillId="9" borderId="39" xfId="0" applyNumberFormat="1" applyFont="1" applyFill="1" applyBorder="1" applyAlignment="1">
      <alignment horizontal="center" vertical="center" wrapText="1"/>
    </xf>
    <xf numFmtId="164" fontId="10" fillId="9" borderId="6" xfId="0" applyNumberFormat="1" applyFont="1" applyFill="1" applyBorder="1" applyAlignment="1">
      <alignment horizontal="center" vertical="center" wrapText="1"/>
    </xf>
    <xf numFmtId="164" fontId="10" fillId="9" borderId="40" xfId="0" applyNumberFormat="1" applyFont="1" applyFill="1" applyBorder="1" applyAlignment="1">
      <alignment horizontal="center" vertical="center" wrapText="1"/>
    </xf>
    <xf numFmtId="164" fontId="10" fillId="0" borderId="37" xfId="0" applyNumberFormat="1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164" fontId="10" fillId="9" borderId="38" xfId="0" applyNumberFormat="1" applyFont="1" applyFill="1" applyBorder="1" applyAlignment="1">
      <alignment horizontal="center" vertical="center" wrapText="1"/>
    </xf>
    <xf numFmtId="164" fontId="10" fillId="0" borderId="40" xfId="0" applyNumberFormat="1" applyFont="1" applyBorder="1" applyAlignment="1">
      <alignment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2" xfId="0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164" fontId="10" fillId="0" borderId="46" xfId="0" applyNumberFormat="1" applyFont="1" applyBorder="1" applyAlignment="1">
      <alignment horizontal="center" vertical="center"/>
    </xf>
    <xf numFmtId="164" fontId="10" fillId="0" borderId="47" xfId="0" applyNumberFormat="1" applyFont="1" applyBorder="1" applyAlignment="1">
      <alignment horizontal="center" vertical="center"/>
    </xf>
    <xf numFmtId="164" fontId="10" fillId="0" borderId="48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164" fontId="10" fillId="0" borderId="44" xfId="0" applyNumberFormat="1" applyFont="1" applyBorder="1" applyAlignment="1">
      <alignment horizontal="center" vertical="center"/>
    </xf>
    <xf numFmtId="164" fontId="10" fillId="0" borderId="45" xfId="0" applyNumberFormat="1" applyFont="1" applyBorder="1" applyAlignment="1">
      <alignment horizontal="center" vertical="center"/>
    </xf>
    <xf numFmtId="164" fontId="10" fillId="9" borderId="50" xfId="0" applyNumberFormat="1" applyFont="1" applyFill="1" applyBorder="1" applyAlignment="1">
      <alignment horizontal="center" vertical="center"/>
    </xf>
    <xf numFmtId="164" fontId="10" fillId="9" borderId="51" xfId="0" applyNumberFormat="1" applyFont="1" applyFill="1" applyBorder="1" applyAlignment="1">
      <alignment horizontal="center" vertical="center"/>
    </xf>
    <xf numFmtId="164" fontId="10" fillId="0" borderId="44" xfId="0" applyNumberFormat="1" applyFont="1" applyBorder="1" applyAlignment="1">
      <alignment horizontal="center" vertical="center" wrapText="1"/>
    </xf>
    <xf numFmtId="164" fontId="10" fillId="9" borderId="52" xfId="0" applyNumberFormat="1" applyFont="1" applyFill="1" applyBorder="1" applyAlignment="1">
      <alignment horizontal="center" vertical="center" wrapText="1"/>
    </xf>
    <xf numFmtId="164" fontId="10" fillId="9" borderId="53" xfId="0" applyNumberFormat="1" applyFont="1" applyFill="1" applyBorder="1" applyAlignment="1">
      <alignment horizontal="center" vertical="center" wrapText="1"/>
    </xf>
    <xf numFmtId="164" fontId="10" fillId="9" borderId="48" xfId="0" applyNumberFormat="1" applyFont="1" applyFill="1" applyBorder="1" applyAlignment="1">
      <alignment horizontal="center" vertical="center" wrapText="1"/>
    </xf>
    <xf numFmtId="164" fontId="10" fillId="9" borderId="49" xfId="0" applyNumberFormat="1" applyFont="1" applyFill="1" applyBorder="1" applyAlignment="1">
      <alignment horizontal="center" vertical="center" wrapText="1"/>
    </xf>
    <xf numFmtId="164" fontId="10" fillId="9" borderId="54" xfId="0" applyNumberFormat="1" applyFont="1" applyFill="1" applyBorder="1" applyAlignment="1">
      <alignment horizontal="center" vertical="center" wrapText="1"/>
    </xf>
    <xf numFmtId="164" fontId="10" fillId="9" borderId="55" xfId="0" applyNumberFormat="1" applyFont="1" applyFill="1" applyBorder="1" applyAlignment="1">
      <alignment horizontal="center" vertical="center" wrapText="1"/>
    </xf>
    <xf numFmtId="164" fontId="10" fillId="0" borderId="46" xfId="0" applyNumberFormat="1" applyFont="1" applyBorder="1" applyAlignment="1">
      <alignment horizontal="center" vertical="center" wrapText="1"/>
    </xf>
    <xf numFmtId="164" fontId="10" fillId="0" borderId="47" xfId="0" applyNumberFormat="1" applyFont="1" applyBorder="1" applyAlignment="1">
      <alignment horizontal="center" vertical="center" wrapText="1"/>
    </xf>
    <xf numFmtId="164" fontId="10" fillId="0" borderId="48" xfId="0" applyNumberFormat="1" applyFont="1" applyBorder="1" applyAlignment="1">
      <alignment horizontal="center" vertical="center" wrapText="1"/>
    </xf>
    <xf numFmtId="164" fontId="10" fillId="0" borderId="49" xfId="0" applyNumberFormat="1" applyFont="1" applyBorder="1" applyAlignment="1">
      <alignment horizontal="center" vertical="center" wrapText="1"/>
    </xf>
    <xf numFmtId="164" fontId="10" fillId="0" borderId="45" xfId="0" applyNumberFormat="1" applyFont="1" applyBorder="1" applyAlignment="1">
      <alignment horizontal="center" vertical="center" wrapText="1"/>
    </xf>
    <xf numFmtId="164" fontId="10" fillId="9" borderId="50" xfId="0" applyNumberFormat="1" applyFont="1" applyFill="1" applyBorder="1" applyAlignment="1">
      <alignment horizontal="center" vertical="center" wrapText="1"/>
    </xf>
    <xf numFmtId="164" fontId="10" fillId="9" borderId="51" xfId="0" applyNumberFormat="1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0" fontId="9" fillId="8" borderId="45" xfId="0" applyFont="1" applyFill="1" applyBorder="1" applyAlignment="1">
      <alignment horizontal="center" vertical="center" wrapText="1"/>
    </xf>
    <xf numFmtId="164" fontId="10" fillId="0" borderId="54" xfId="0" applyNumberFormat="1" applyFont="1" applyBorder="1" applyAlignment="1">
      <alignment horizontal="center" vertical="center" wrapText="1"/>
    </xf>
    <xf numFmtId="164" fontId="10" fillId="0" borderId="55" xfId="0" applyNumberFormat="1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164" fontId="10" fillId="0" borderId="36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vertical="center"/>
    </xf>
    <xf numFmtId="20" fontId="11" fillId="0" borderId="0" xfId="0" applyNumberFormat="1" applyFont="1" applyAlignment="1">
      <alignment horizontal="center" vertical="center" wrapText="1"/>
    </xf>
    <xf numFmtId="20" fontId="10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4" fontId="11" fillId="13" borderId="0" xfId="0" applyNumberFormat="1" applyFont="1" applyFill="1" applyAlignment="1">
      <alignment horizontal="center" vertical="center"/>
    </xf>
    <xf numFmtId="0" fontId="9" fillId="3" borderId="58" xfId="0" applyFont="1" applyFill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164" fontId="10" fillId="0" borderId="58" xfId="0" applyNumberFormat="1" applyFont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 wrapText="1"/>
    </xf>
    <xf numFmtId="164" fontId="10" fillId="0" borderId="58" xfId="0" applyNumberFormat="1" applyFont="1" applyBorder="1" applyAlignment="1">
      <alignment horizontal="center" vertical="center" wrapText="1"/>
    </xf>
    <xf numFmtId="0" fontId="0" fillId="0" borderId="58" xfId="0" applyBorder="1" applyAlignment="1">
      <alignment vertical="center"/>
    </xf>
    <xf numFmtId="0" fontId="9" fillId="8" borderId="58" xfId="0" applyFont="1" applyFill="1" applyBorder="1" applyAlignment="1">
      <alignment horizontal="center" vertical="center" wrapText="1"/>
    </xf>
    <xf numFmtId="164" fontId="11" fillId="8" borderId="58" xfId="0" applyNumberFormat="1" applyFont="1" applyFill="1" applyBorder="1" applyAlignment="1">
      <alignment horizontal="center" vertical="center"/>
    </xf>
    <xf numFmtId="164" fontId="11" fillId="4" borderId="58" xfId="0" applyNumberFormat="1" applyFont="1" applyFill="1" applyBorder="1" applyAlignment="1">
      <alignment horizontal="center" vertical="center"/>
    </xf>
    <xf numFmtId="164" fontId="11" fillId="7" borderId="58" xfId="0" applyNumberFormat="1" applyFont="1" applyFill="1" applyBorder="1" applyAlignment="1">
      <alignment horizontal="center" vertical="center"/>
    </xf>
    <xf numFmtId="164" fontId="11" fillId="11" borderId="58" xfId="0" applyNumberFormat="1" applyFont="1" applyFill="1" applyBorder="1" applyAlignment="1">
      <alignment horizontal="center" vertical="center"/>
    </xf>
    <xf numFmtId="164" fontId="11" fillId="12" borderId="58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 wrapText="1"/>
    </xf>
    <xf numFmtId="164" fontId="10" fillId="0" borderId="59" xfId="0" applyNumberFormat="1" applyFont="1" applyBorder="1" applyAlignment="1">
      <alignment horizontal="center" vertical="center"/>
    </xf>
    <xf numFmtId="164" fontId="10" fillId="0" borderId="59" xfId="0" applyNumberFormat="1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 wrapText="1"/>
    </xf>
    <xf numFmtId="164" fontId="10" fillId="0" borderId="60" xfId="0" applyNumberFormat="1" applyFont="1" applyBorder="1" applyAlignment="1">
      <alignment horizontal="center" vertical="center" wrapText="1"/>
    </xf>
    <xf numFmtId="0" fontId="0" fillId="0" borderId="60" xfId="0" applyBorder="1" applyAlignment="1">
      <alignment vertical="center"/>
    </xf>
    <xf numFmtId="0" fontId="0" fillId="0" borderId="60" xfId="0" applyBorder="1" applyAlignment="1">
      <alignment vertical="center" wrapText="1"/>
    </xf>
    <xf numFmtId="0" fontId="10" fillId="0" borderId="61" xfId="0" applyFont="1" applyBorder="1" applyAlignment="1">
      <alignment horizontal="center" vertical="center" wrapText="1"/>
    </xf>
    <xf numFmtId="164" fontId="10" fillId="0" borderId="61" xfId="0" applyNumberFormat="1" applyFont="1" applyBorder="1" applyAlignment="1">
      <alignment horizontal="center" vertical="center" wrapText="1"/>
    </xf>
    <xf numFmtId="164" fontId="11" fillId="8" borderId="61" xfId="0" applyNumberFormat="1" applyFont="1" applyFill="1" applyBorder="1" applyAlignment="1">
      <alignment horizontal="center" vertical="center"/>
    </xf>
    <xf numFmtId="20" fontId="11" fillId="9" borderId="62" xfId="0" applyNumberFormat="1" applyFont="1" applyFill="1" applyBorder="1" applyAlignment="1">
      <alignment horizontal="center" vertical="center" wrapText="1"/>
    </xf>
    <xf numFmtId="0" fontId="10" fillId="9" borderId="63" xfId="0" applyFont="1" applyFill="1" applyBorder="1" applyAlignment="1">
      <alignment horizontal="center" vertical="center" wrapText="1"/>
    </xf>
    <xf numFmtId="164" fontId="10" fillId="9" borderId="63" xfId="0" applyNumberFormat="1" applyFont="1" applyFill="1" applyBorder="1" applyAlignment="1">
      <alignment horizontal="center" vertical="center"/>
    </xf>
    <xf numFmtId="164" fontId="10" fillId="9" borderId="64" xfId="0" applyNumberFormat="1" applyFont="1" applyFill="1" applyBorder="1" applyAlignment="1">
      <alignment horizontal="center" vertical="center"/>
    </xf>
    <xf numFmtId="0" fontId="10" fillId="9" borderId="66" xfId="0" applyFont="1" applyFill="1" applyBorder="1" applyAlignment="1">
      <alignment horizontal="center" vertical="center" wrapText="1"/>
    </xf>
    <xf numFmtId="0" fontId="10" fillId="9" borderId="71" xfId="0" applyFont="1" applyFill="1" applyBorder="1" applyAlignment="1">
      <alignment horizontal="center" vertical="center" wrapText="1"/>
    </xf>
    <xf numFmtId="20" fontId="10" fillId="9" borderId="63" xfId="0" applyNumberFormat="1" applyFont="1" applyFill="1" applyBorder="1" applyAlignment="1">
      <alignment horizontal="center" vertical="center" wrapText="1"/>
    </xf>
    <xf numFmtId="164" fontId="10" fillId="9" borderId="64" xfId="0" applyNumberFormat="1" applyFont="1" applyFill="1" applyBorder="1" applyAlignment="1">
      <alignment horizontal="center" vertical="center" wrapText="1"/>
    </xf>
    <xf numFmtId="164" fontId="10" fillId="0" borderId="59" xfId="0" applyNumberFormat="1" applyFont="1" applyBorder="1" applyAlignment="1">
      <alignment vertical="center" wrapText="1"/>
    </xf>
    <xf numFmtId="20" fontId="11" fillId="9" borderId="73" xfId="0" applyNumberFormat="1" applyFont="1" applyFill="1" applyBorder="1" applyAlignment="1">
      <alignment horizontal="center" vertical="center" wrapText="1"/>
    </xf>
    <xf numFmtId="0" fontId="10" fillId="9" borderId="74" xfId="0" applyFont="1" applyFill="1" applyBorder="1" applyAlignment="1">
      <alignment horizontal="center" vertical="center" wrapText="1"/>
    </xf>
    <xf numFmtId="164" fontId="10" fillId="9" borderId="74" xfId="0" applyNumberFormat="1" applyFont="1" applyFill="1" applyBorder="1" applyAlignment="1">
      <alignment horizontal="center" vertical="center"/>
    </xf>
    <xf numFmtId="164" fontId="10" fillId="9" borderId="75" xfId="0" applyNumberFormat="1" applyFont="1" applyFill="1" applyBorder="1" applyAlignment="1">
      <alignment horizontal="center" vertical="center"/>
    </xf>
    <xf numFmtId="164" fontId="11" fillId="5" borderId="58" xfId="0" applyNumberFormat="1" applyFont="1" applyFill="1" applyBorder="1" applyAlignment="1">
      <alignment horizontal="center" vertical="center"/>
    </xf>
    <xf numFmtId="164" fontId="11" fillId="5" borderId="78" xfId="0" applyNumberFormat="1" applyFont="1" applyFill="1" applyBorder="1" applyAlignment="1">
      <alignment horizontal="center" vertical="center"/>
    </xf>
    <xf numFmtId="0" fontId="9" fillId="3" borderId="76" xfId="0" applyFont="1" applyFill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9" borderId="80" xfId="0" applyFont="1" applyFill="1" applyBorder="1" applyAlignment="1">
      <alignment horizontal="center" vertical="center" wrapText="1"/>
    </xf>
    <xf numFmtId="0" fontId="10" fillId="0" borderId="81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20" fontId="10" fillId="9" borderId="80" xfId="0" applyNumberFormat="1" applyFont="1" applyFill="1" applyBorder="1" applyAlignment="1">
      <alignment horizontal="center" vertical="center" wrapText="1"/>
    </xf>
    <xf numFmtId="0" fontId="9" fillId="8" borderId="78" xfId="0" applyFont="1" applyFill="1" applyBorder="1" applyAlignment="1">
      <alignment horizontal="center" vertical="center" wrapText="1"/>
    </xf>
    <xf numFmtId="0" fontId="9" fillId="3" borderId="78" xfId="0" applyFont="1" applyFill="1" applyBorder="1" applyAlignment="1">
      <alignment horizontal="center" vertical="center" wrapText="1"/>
    </xf>
    <xf numFmtId="164" fontId="10" fillId="9" borderId="86" xfId="0" applyNumberFormat="1" applyFont="1" applyFill="1" applyBorder="1" applyAlignment="1">
      <alignment horizontal="center" vertical="center"/>
    </xf>
    <xf numFmtId="164" fontId="10" fillId="0" borderId="87" xfId="0" applyNumberFormat="1" applyFont="1" applyBorder="1" applyAlignment="1">
      <alignment horizontal="center" vertical="center" wrapText="1"/>
    </xf>
    <xf numFmtId="164" fontId="10" fillId="0" borderId="90" xfId="0" applyNumberFormat="1" applyFont="1" applyBorder="1" applyAlignment="1">
      <alignment horizontal="center" vertical="center" wrapText="1"/>
    </xf>
    <xf numFmtId="164" fontId="10" fillId="0" borderId="78" xfId="0" applyNumberFormat="1" applyFont="1" applyBorder="1" applyAlignment="1">
      <alignment horizontal="center" vertical="center" wrapText="1"/>
    </xf>
    <xf numFmtId="164" fontId="10" fillId="0" borderId="85" xfId="0" applyNumberFormat="1" applyFont="1" applyBorder="1" applyAlignment="1">
      <alignment horizontal="center" vertical="center" wrapText="1"/>
    </xf>
    <xf numFmtId="164" fontId="11" fillId="8" borderId="90" xfId="0" applyNumberFormat="1" applyFont="1" applyFill="1" applyBorder="1" applyAlignment="1">
      <alignment horizontal="center" vertical="center"/>
    </xf>
    <xf numFmtId="0" fontId="9" fillId="8" borderId="91" xfId="0" applyFont="1" applyFill="1" applyBorder="1" applyAlignment="1">
      <alignment horizontal="center" vertical="center" wrapText="1"/>
    </xf>
    <xf numFmtId="0" fontId="9" fillId="8" borderId="92" xfId="0" applyFont="1" applyFill="1" applyBorder="1" applyAlignment="1">
      <alignment horizontal="center" vertical="center" wrapText="1"/>
    </xf>
    <xf numFmtId="0" fontId="9" fillId="8" borderId="93" xfId="0" applyFont="1" applyFill="1" applyBorder="1" applyAlignment="1">
      <alignment horizontal="center" vertical="center" wrapText="1"/>
    </xf>
    <xf numFmtId="0" fontId="9" fillId="3" borderId="94" xfId="0" applyFont="1" applyFill="1" applyBorder="1" applyAlignment="1">
      <alignment horizontal="center" vertical="center" wrapText="1"/>
    </xf>
    <xf numFmtId="0" fontId="9" fillId="3" borderId="95" xfId="0" applyFont="1" applyFill="1" applyBorder="1" applyAlignment="1">
      <alignment horizontal="center" vertical="center" wrapText="1"/>
    </xf>
    <xf numFmtId="164" fontId="10" fillId="9" borderId="98" xfId="0" applyNumberFormat="1" applyFont="1" applyFill="1" applyBorder="1" applyAlignment="1">
      <alignment horizontal="center" vertical="center"/>
    </xf>
    <xf numFmtId="164" fontId="10" fillId="9" borderId="99" xfId="0" applyNumberFormat="1" applyFont="1" applyFill="1" applyBorder="1" applyAlignment="1">
      <alignment horizontal="center" vertical="center"/>
    </xf>
    <xf numFmtId="164" fontId="10" fillId="0" borderId="100" xfId="0" applyNumberFormat="1" applyFont="1" applyBorder="1" applyAlignment="1">
      <alignment horizontal="center" vertical="center" wrapText="1"/>
    </xf>
    <xf numFmtId="0" fontId="0" fillId="0" borderId="101" xfId="0" applyBorder="1" applyAlignment="1">
      <alignment vertical="center"/>
    </xf>
    <xf numFmtId="164" fontId="11" fillId="8" borderId="108" xfId="0" applyNumberFormat="1" applyFont="1" applyFill="1" applyBorder="1" applyAlignment="1">
      <alignment horizontal="center" vertical="center"/>
    </xf>
    <xf numFmtId="164" fontId="11" fillId="8" borderId="109" xfId="0" applyNumberFormat="1" applyFont="1" applyFill="1" applyBorder="1" applyAlignment="1">
      <alignment horizontal="center" vertical="center"/>
    </xf>
    <xf numFmtId="164" fontId="11" fillId="8" borderId="110" xfId="0" applyNumberFormat="1" applyFont="1" applyFill="1" applyBorder="1" applyAlignment="1">
      <alignment horizontal="center" vertical="center"/>
    </xf>
    <xf numFmtId="0" fontId="10" fillId="9" borderId="111" xfId="0" applyFont="1" applyFill="1" applyBorder="1" applyAlignment="1">
      <alignment horizontal="center" vertical="center" wrapText="1"/>
    </xf>
    <xf numFmtId="164" fontId="10" fillId="0" borderId="85" xfId="0" applyNumberFormat="1" applyFont="1" applyBorder="1" applyAlignment="1">
      <alignment vertical="center" wrapText="1"/>
    </xf>
    <xf numFmtId="164" fontId="10" fillId="9" borderId="112" xfId="0" applyNumberFormat="1" applyFont="1" applyFill="1" applyBorder="1" applyAlignment="1">
      <alignment horizontal="center" vertical="center"/>
    </xf>
    <xf numFmtId="164" fontId="11" fillId="8" borderId="78" xfId="0" applyNumberFormat="1" applyFont="1" applyFill="1" applyBorder="1" applyAlignment="1">
      <alignment horizontal="center" vertical="center"/>
    </xf>
    <xf numFmtId="164" fontId="10" fillId="0" borderId="94" xfId="0" applyNumberFormat="1" applyFont="1" applyBorder="1" applyAlignment="1">
      <alignment horizontal="center" vertical="center" wrapText="1"/>
    </xf>
    <xf numFmtId="164" fontId="10" fillId="0" borderId="95" xfId="0" applyNumberFormat="1" applyFont="1" applyBorder="1" applyAlignment="1">
      <alignment horizontal="center" vertical="center" wrapText="1"/>
    </xf>
    <xf numFmtId="164" fontId="10" fillId="0" borderId="97" xfId="0" applyNumberFormat="1" applyFont="1" applyBorder="1" applyAlignment="1">
      <alignment vertical="center" wrapText="1"/>
    </xf>
    <xf numFmtId="164" fontId="10" fillId="9" borderId="113" xfId="0" applyNumberFormat="1" applyFont="1" applyFill="1" applyBorder="1" applyAlignment="1">
      <alignment horizontal="center" vertical="center"/>
    </xf>
    <xf numFmtId="164" fontId="10" fillId="9" borderId="114" xfId="0" applyNumberFormat="1" applyFont="1" applyFill="1" applyBorder="1" applyAlignment="1">
      <alignment horizontal="center" vertical="center"/>
    </xf>
    <xf numFmtId="164" fontId="11" fillId="8" borderId="115" xfId="0" applyNumberFormat="1" applyFont="1" applyFill="1" applyBorder="1" applyAlignment="1">
      <alignment horizontal="center" vertical="center"/>
    </xf>
    <xf numFmtId="164" fontId="11" fillId="8" borderId="116" xfId="0" applyNumberFormat="1" applyFont="1" applyFill="1" applyBorder="1" applyAlignment="1">
      <alignment horizontal="center" vertical="center"/>
    </xf>
    <xf numFmtId="164" fontId="11" fillId="8" borderId="117" xfId="0" applyNumberFormat="1" applyFont="1" applyFill="1" applyBorder="1" applyAlignment="1">
      <alignment horizontal="center" vertical="center"/>
    </xf>
    <xf numFmtId="164" fontId="11" fillId="4" borderId="78" xfId="0" applyNumberFormat="1" applyFont="1" applyFill="1" applyBorder="1" applyAlignment="1">
      <alignment horizontal="center" vertical="center"/>
    </xf>
    <xf numFmtId="164" fontId="11" fillId="4" borderId="91" xfId="0" applyNumberFormat="1" applyFont="1" applyFill="1" applyBorder="1" applyAlignment="1">
      <alignment horizontal="center" vertical="center"/>
    </xf>
    <xf numFmtId="164" fontId="11" fillId="4" borderId="92" xfId="0" applyNumberFormat="1" applyFont="1" applyFill="1" applyBorder="1" applyAlignment="1">
      <alignment horizontal="center" vertical="center"/>
    </xf>
    <xf numFmtId="164" fontId="11" fillId="4" borderId="93" xfId="0" applyNumberFormat="1" applyFont="1" applyFill="1" applyBorder="1" applyAlignment="1">
      <alignment horizontal="center" vertical="center"/>
    </xf>
    <xf numFmtId="164" fontId="11" fillId="5" borderId="94" xfId="0" applyNumberFormat="1" applyFont="1" applyFill="1" applyBorder="1" applyAlignment="1">
      <alignment horizontal="center" vertical="center"/>
    </xf>
    <xf numFmtId="164" fontId="11" fillId="5" borderId="95" xfId="0" applyNumberFormat="1" applyFont="1" applyFill="1" applyBorder="1" applyAlignment="1">
      <alignment horizontal="center" vertical="center"/>
    </xf>
    <xf numFmtId="164" fontId="10" fillId="0" borderId="96" xfId="0" applyNumberFormat="1" applyFont="1" applyBorder="1" applyAlignment="1">
      <alignment horizontal="center" vertical="center" wrapText="1"/>
    </xf>
    <xf numFmtId="164" fontId="11" fillId="15" borderId="118" xfId="0" applyNumberFormat="1" applyFont="1" applyFill="1" applyBorder="1" applyAlignment="1">
      <alignment horizontal="center" vertical="center"/>
    </xf>
    <xf numFmtId="164" fontId="0" fillId="0" borderId="56" xfId="0" applyNumberFormat="1" applyBorder="1" applyAlignment="1">
      <alignment vertical="center"/>
    </xf>
    <xf numFmtId="0" fontId="16" fillId="0" borderId="0" xfId="0" applyFont="1" applyAlignment="1">
      <alignment vertical="center"/>
    </xf>
    <xf numFmtId="0" fontId="15" fillId="8" borderId="118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16" borderId="118" xfId="0" applyFont="1" applyFill="1" applyBorder="1" applyAlignment="1">
      <alignment horizontal="center" vertical="center" wrapText="1"/>
    </xf>
    <xf numFmtId="44" fontId="16" fillId="16" borderId="118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4" fontId="16" fillId="9" borderId="118" xfId="1" applyFont="1" applyFill="1" applyBorder="1" applyAlignment="1">
      <alignment horizontal="center" vertical="center" wrapText="1"/>
    </xf>
    <xf numFmtId="44" fontId="15" fillId="7" borderId="118" xfId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44" fontId="15" fillId="2" borderId="0" xfId="1" applyFont="1" applyFill="1" applyAlignment="1">
      <alignment horizontal="center" vertical="center" wrapText="1"/>
    </xf>
    <xf numFmtId="44" fontId="16" fillId="0" borderId="0" xfId="1" applyFont="1" applyAlignment="1">
      <alignment horizontal="center" vertical="center" wrapText="1"/>
    </xf>
    <xf numFmtId="0" fontId="15" fillId="10" borderId="118" xfId="0" applyFont="1" applyFill="1" applyBorder="1" applyAlignment="1">
      <alignment horizontal="center" vertical="center" wrapText="1"/>
    </xf>
    <xf numFmtId="44" fontId="15" fillId="10" borderId="118" xfId="0" applyNumberFormat="1" applyFont="1" applyFill="1" applyBorder="1" applyAlignment="1">
      <alignment horizontal="center" vertical="center" wrapText="1"/>
    </xf>
    <xf numFmtId="164" fontId="10" fillId="7" borderId="58" xfId="0" applyNumberFormat="1" applyFont="1" applyFill="1" applyBorder="1" applyAlignment="1">
      <alignment horizontal="center" vertical="center" wrapText="1"/>
    </xf>
    <xf numFmtId="164" fontId="10" fillId="18" borderId="58" xfId="0" applyNumberFormat="1" applyFont="1" applyFill="1" applyBorder="1" applyAlignment="1">
      <alignment horizontal="center" vertical="center" wrapText="1"/>
    </xf>
    <xf numFmtId="164" fontId="10" fillId="17" borderId="58" xfId="0" applyNumberFormat="1" applyFont="1" applyFill="1" applyBorder="1" applyAlignment="1">
      <alignment horizontal="center" vertical="center" wrapText="1"/>
    </xf>
    <xf numFmtId="164" fontId="10" fillId="7" borderId="59" xfId="0" applyNumberFormat="1" applyFont="1" applyFill="1" applyBorder="1" applyAlignment="1">
      <alignment horizontal="center" vertical="center" wrapText="1"/>
    </xf>
    <xf numFmtId="20" fontId="11" fillId="9" borderId="126" xfId="0" applyNumberFormat="1" applyFont="1" applyFill="1" applyBorder="1" applyAlignment="1">
      <alignment horizontal="center" vertical="center" wrapText="1"/>
    </xf>
    <xf numFmtId="0" fontId="10" fillId="9" borderId="127" xfId="0" applyFont="1" applyFill="1" applyBorder="1" applyAlignment="1">
      <alignment horizontal="center" vertical="center" wrapText="1"/>
    </xf>
    <xf numFmtId="164" fontId="10" fillId="7" borderId="127" xfId="0" applyNumberFormat="1" applyFont="1" applyFill="1" applyBorder="1" applyAlignment="1">
      <alignment horizontal="center" vertical="center" wrapText="1"/>
    </xf>
    <xf numFmtId="164" fontId="10" fillId="9" borderId="127" xfId="0" applyNumberFormat="1" applyFont="1" applyFill="1" applyBorder="1" applyAlignment="1">
      <alignment horizontal="center" vertical="center"/>
    </xf>
    <xf numFmtId="164" fontId="10" fillId="18" borderId="127" xfId="0" applyNumberFormat="1" applyFont="1" applyFill="1" applyBorder="1" applyAlignment="1">
      <alignment horizontal="center" vertical="center" wrapText="1"/>
    </xf>
    <xf numFmtId="164" fontId="10" fillId="18" borderId="128" xfId="0" applyNumberFormat="1" applyFont="1" applyFill="1" applyBorder="1" applyAlignment="1">
      <alignment horizontal="center" vertical="center" wrapText="1"/>
    </xf>
    <xf numFmtId="164" fontId="10" fillId="9" borderId="128" xfId="0" applyNumberFormat="1" applyFont="1" applyFill="1" applyBorder="1" applyAlignment="1">
      <alignment horizontal="center" vertical="center"/>
    </xf>
    <xf numFmtId="44" fontId="0" fillId="0" borderId="0" xfId="0" applyNumberFormat="1"/>
    <xf numFmtId="44" fontId="15" fillId="7" borderId="0" xfId="1" applyFont="1" applyFill="1" applyBorder="1" applyAlignment="1">
      <alignment horizontal="center" vertical="center" wrapText="1"/>
    </xf>
    <xf numFmtId="44" fontId="17" fillId="16" borderId="118" xfId="1" applyFont="1" applyFill="1" applyBorder="1" applyAlignment="1">
      <alignment horizontal="center" vertical="center" wrapText="1"/>
    </xf>
    <xf numFmtId="0" fontId="16" fillId="16" borderId="123" xfId="0" applyFont="1" applyFill="1" applyBorder="1" applyAlignment="1">
      <alignment horizontal="center" vertical="center" wrapText="1"/>
    </xf>
    <xf numFmtId="0" fontId="16" fillId="16" borderId="124" xfId="0" applyFont="1" applyFill="1" applyBorder="1" applyAlignment="1">
      <alignment horizontal="center" vertical="center" wrapText="1"/>
    </xf>
    <xf numFmtId="0" fontId="16" fillId="16" borderId="125" xfId="0" applyFont="1" applyFill="1" applyBorder="1" applyAlignment="1">
      <alignment horizontal="center" vertical="center" wrapText="1"/>
    </xf>
    <xf numFmtId="44" fontId="15" fillId="0" borderId="118" xfId="0" applyNumberFormat="1" applyFont="1" applyBorder="1" applyAlignment="1">
      <alignment horizontal="center" vertical="center" wrapText="1"/>
    </xf>
    <xf numFmtId="44" fontId="15" fillId="2" borderId="118" xfId="0" applyNumberFormat="1" applyFont="1" applyFill="1" applyBorder="1" applyAlignment="1">
      <alignment horizontal="center" vertical="center" wrapText="1"/>
    </xf>
    <xf numFmtId="44" fontId="0" fillId="19" borderId="0" xfId="0" applyNumberFormat="1" applyFill="1"/>
    <xf numFmtId="44" fontId="18" fillId="19" borderId="0" xfId="0" applyNumberFormat="1" applyFont="1" applyFill="1"/>
    <xf numFmtId="165" fontId="16" fillId="16" borderId="118" xfId="1" applyNumberFormat="1" applyFont="1" applyFill="1" applyBorder="1" applyAlignment="1">
      <alignment horizontal="center" vertical="center" wrapText="1"/>
    </xf>
    <xf numFmtId="165" fontId="16" fillId="7" borderId="118" xfId="1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0" fontId="9" fillId="3" borderId="76" xfId="0" applyFont="1" applyFill="1" applyBorder="1" applyAlignment="1">
      <alignment horizontal="center" vertical="center" wrapText="1"/>
    </xf>
    <xf numFmtId="0" fontId="9" fillId="3" borderId="78" xfId="0" applyFont="1" applyFill="1" applyBorder="1" applyAlignment="1">
      <alignment horizontal="center" vertical="center" wrapText="1"/>
    </xf>
    <xf numFmtId="164" fontId="10" fillId="0" borderId="58" xfId="0" applyNumberFormat="1" applyFont="1" applyBorder="1" applyAlignment="1">
      <alignment horizontal="center" vertical="center"/>
    </xf>
    <xf numFmtId="164" fontId="10" fillId="0" borderId="59" xfId="0" applyNumberFormat="1" applyFont="1" applyBorder="1" applyAlignment="1">
      <alignment horizontal="center" vertical="center"/>
    </xf>
    <xf numFmtId="164" fontId="10" fillId="9" borderId="66" xfId="0" applyNumberFormat="1" applyFont="1" applyFill="1" applyBorder="1" applyAlignment="1">
      <alignment horizontal="center" vertical="center" wrapText="1"/>
    </xf>
    <xf numFmtId="164" fontId="10" fillId="9" borderId="58" xfId="0" applyNumberFormat="1" applyFont="1" applyFill="1" applyBorder="1" applyAlignment="1">
      <alignment horizontal="center" vertical="center" wrapText="1"/>
    </xf>
    <xf numFmtId="164" fontId="10" fillId="9" borderId="71" xfId="0" applyNumberFormat="1" applyFont="1" applyFill="1" applyBorder="1" applyAlignment="1">
      <alignment horizontal="center" vertical="center" wrapText="1"/>
    </xf>
    <xf numFmtId="164" fontId="11" fillId="8" borderId="61" xfId="0" applyNumberFormat="1" applyFont="1" applyFill="1" applyBorder="1" applyAlignment="1">
      <alignment horizontal="center" vertical="center"/>
    </xf>
    <xf numFmtId="164" fontId="11" fillId="8" borderId="58" xfId="0" applyNumberFormat="1" applyFont="1" applyFill="1" applyBorder="1" applyAlignment="1">
      <alignment horizontal="center" vertical="center"/>
    </xf>
    <xf numFmtId="164" fontId="10" fillId="2" borderId="61" xfId="0" applyNumberFormat="1" applyFont="1" applyFill="1" applyBorder="1" applyAlignment="1">
      <alignment horizontal="center" vertical="center" wrapText="1"/>
    </xf>
    <xf numFmtId="164" fontId="10" fillId="2" borderId="58" xfId="0" applyNumberFormat="1" applyFont="1" applyFill="1" applyBorder="1" applyAlignment="1">
      <alignment horizontal="center" vertical="center" wrapText="1"/>
    </xf>
    <xf numFmtId="164" fontId="10" fillId="2" borderId="59" xfId="0" applyNumberFormat="1" applyFont="1" applyFill="1" applyBorder="1" applyAlignment="1">
      <alignment horizontal="center" vertical="center" wrapText="1"/>
    </xf>
    <xf numFmtId="20" fontId="11" fillId="9" borderId="65" xfId="0" applyNumberFormat="1" applyFont="1" applyFill="1" applyBorder="1" applyAlignment="1">
      <alignment horizontal="center" vertical="center" wrapText="1"/>
    </xf>
    <xf numFmtId="20" fontId="11" fillId="9" borderId="68" xfId="0" applyNumberFormat="1" applyFont="1" applyFill="1" applyBorder="1" applyAlignment="1">
      <alignment horizontal="center" vertical="center" wrapText="1"/>
    </xf>
    <xf numFmtId="20" fontId="11" fillId="9" borderId="70" xfId="0" applyNumberFormat="1" applyFont="1" applyFill="1" applyBorder="1" applyAlignment="1">
      <alignment horizontal="center" vertical="center" wrapText="1"/>
    </xf>
    <xf numFmtId="0" fontId="10" fillId="9" borderId="82" xfId="0" applyFont="1" applyFill="1" applyBorder="1" applyAlignment="1">
      <alignment horizontal="center" vertical="center" wrapText="1"/>
    </xf>
    <xf numFmtId="0" fontId="10" fillId="9" borderId="76" xfId="0" applyFont="1" applyFill="1" applyBorder="1" applyAlignment="1">
      <alignment horizontal="center" vertical="center" wrapText="1"/>
    </xf>
    <xf numFmtId="0" fontId="10" fillId="9" borderId="83" xfId="0" applyFont="1" applyFill="1" applyBorder="1" applyAlignment="1">
      <alignment horizontal="center" vertical="center" wrapText="1"/>
    </xf>
    <xf numFmtId="20" fontId="11" fillId="0" borderId="61" xfId="0" applyNumberFormat="1" applyFont="1" applyBorder="1" applyAlignment="1">
      <alignment horizontal="center" vertical="center" wrapText="1"/>
    </xf>
    <xf numFmtId="20" fontId="11" fillId="0" borderId="58" xfId="0" applyNumberFormat="1" applyFont="1" applyBorder="1" applyAlignment="1">
      <alignment horizontal="center" vertical="center" wrapText="1"/>
    </xf>
    <xf numFmtId="20" fontId="11" fillId="0" borderId="59" xfId="0" applyNumberFormat="1" applyFont="1" applyBorder="1" applyAlignment="1">
      <alignment horizontal="center" vertical="center" wrapText="1"/>
    </xf>
    <xf numFmtId="164" fontId="10" fillId="9" borderId="88" xfId="0" applyNumberFormat="1" applyFont="1" applyFill="1" applyBorder="1" applyAlignment="1">
      <alignment horizontal="center" vertical="center" wrapText="1"/>
    </xf>
    <xf numFmtId="164" fontId="10" fillId="9" borderId="78" xfId="0" applyNumberFormat="1" applyFont="1" applyFill="1" applyBorder="1" applyAlignment="1">
      <alignment horizontal="center" vertical="center" wrapText="1"/>
    </xf>
    <xf numFmtId="164" fontId="10" fillId="9" borderId="89" xfId="0" applyNumberFormat="1" applyFont="1" applyFill="1" applyBorder="1" applyAlignment="1">
      <alignment horizontal="center" vertical="center" wrapText="1"/>
    </xf>
    <xf numFmtId="164" fontId="10" fillId="2" borderId="106" xfId="0" applyNumberFormat="1" applyFont="1" applyFill="1" applyBorder="1" applyAlignment="1">
      <alignment horizontal="center" vertical="center" wrapText="1"/>
    </xf>
    <xf numFmtId="164" fontId="10" fillId="2" borderId="94" xfId="0" applyNumberFormat="1" applyFont="1" applyFill="1" applyBorder="1" applyAlignment="1">
      <alignment horizontal="center" vertical="center" wrapText="1"/>
    </xf>
    <xf numFmtId="164" fontId="10" fillId="2" borderId="96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0" fillId="9" borderId="67" xfId="0" applyNumberFormat="1" applyFont="1" applyFill="1" applyBorder="1" applyAlignment="1">
      <alignment horizontal="center" vertical="center" wrapText="1"/>
    </xf>
    <xf numFmtId="164" fontId="10" fillId="9" borderId="69" xfId="0" applyNumberFormat="1" applyFont="1" applyFill="1" applyBorder="1" applyAlignment="1">
      <alignment horizontal="center" vertical="center" wrapText="1"/>
    </xf>
    <xf numFmtId="164" fontId="10" fillId="9" borderId="72" xfId="0" applyNumberFormat="1" applyFont="1" applyFill="1" applyBorder="1" applyAlignment="1">
      <alignment horizontal="center" vertical="center" wrapText="1"/>
    </xf>
    <xf numFmtId="164" fontId="10" fillId="0" borderId="78" xfId="0" applyNumberFormat="1" applyFont="1" applyBorder="1" applyAlignment="1">
      <alignment horizontal="center" vertical="center"/>
    </xf>
    <xf numFmtId="164" fontId="10" fillId="0" borderId="85" xfId="0" applyNumberFormat="1" applyFont="1" applyBorder="1" applyAlignment="1">
      <alignment horizontal="center" vertical="center"/>
    </xf>
    <xf numFmtId="164" fontId="10" fillId="9" borderId="102" xfId="0" applyNumberFormat="1" applyFont="1" applyFill="1" applyBorder="1" applyAlignment="1">
      <alignment horizontal="center" vertical="center" wrapText="1"/>
    </xf>
    <xf numFmtId="164" fontId="10" fillId="9" borderId="94" xfId="0" applyNumberFormat="1" applyFont="1" applyFill="1" applyBorder="1" applyAlignment="1">
      <alignment horizontal="center" vertical="center" wrapText="1"/>
    </xf>
    <xf numFmtId="164" fontId="10" fillId="9" borderId="104" xfId="0" applyNumberFormat="1" applyFont="1" applyFill="1" applyBorder="1" applyAlignment="1">
      <alignment horizontal="center" vertical="center" wrapText="1"/>
    </xf>
    <xf numFmtId="164" fontId="10" fillId="9" borderId="103" xfId="0" applyNumberFormat="1" applyFont="1" applyFill="1" applyBorder="1" applyAlignment="1">
      <alignment horizontal="center" vertical="center" wrapText="1"/>
    </xf>
    <xf numFmtId="164" fontId="10" fillId="9" borderId="95" xfId="0" applyNumberFormat="1" applyFont="1" applyFill="1" applyBorder="1" applyAlignment="1">
      <alignment horizontal="center" vertical="center" wrapText="1"/>
    </xf>
    <xf numFmtId="164" fontId="10" fillId="9" borderId="105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20" fontId="11" fillId="9" borderId="13" xfId="0" applyNumberFormat="1" applyFont="1" applyFill="1" applyBorder="1" applyAlignment="1">
      <alignment horizontal="center" vertical="center" wrapText="1"/>
    </xf>
    <xf numFmtId="20" fontId="11" fillId="9" borderId="17" xfId="0" applyNumberFormat="1" applyFont="1" applyFill="1" applyBorder="1" applyAlignment="1">
      <alignment horizontal="center" vertical="center" wrapText="1"/>
    </xf>
    <xf numFmtId="20" fontId="11" fillId="9" borderId="15" xfId="0" applyNumberFormat="1" applyFont="1" applyFill="1" applyBorder="1" applyAlignment="1">
      <alignment horizontal="center" vertical="center" wrapText="1"/>
    </xf>
    <xf numFmtId="0" fontId="10" fillId="9" borderId="32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20" fontId="11" fillId="0" borderId="8" xfId="0" applyNumberFormat="1" applyFont="1" applyBorder="1" applyAlignment="1">
      <alignment horizontal="center" vertical="center" wrapText="1"/>
    </xf>
    <xf numFmtId="20" fontId="11" fillId="0" borderId="20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20" fontId="11" fillId="0" borderId="19" xfId="0" applyNumberFormat="1" applyFont="1" applyBorder="1" applyAlignment="1">
      <alignment horizontal="center" vertical="center" wrapText="1"/>
    </xf>
    <xf numFmtId="20" fontId="11" fillId="0" borderId="1" xfId="0" applyNumberFormat="1" applyFont="1" applyBorder="1" applyAlignment="1">
      <alignment horizontal="center" vertical="center" wrapText="1"/>
    </xf>
    <xf numFmtId="20" fontId="11" fillId="0" borderId="10" xfId="0" applyNumberFormat="1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0" fillId="0" borderId="94" xfId="0" applyNumberFormat="1" applyFont="1" applyBorder="1" applyAlignment="1">
      <alignment horizontal="center" vertical="center"/>
    </xf>
    <xf numFmtId="164" fontId="10" fillId="0" borderId="96" xfId="0" applyNumberFormat="1" applyFont="1" applyBorder="1" applyAlignment="1">
      <alignment horizontal="center" vertical="center"/>
    </xf>
    <xf numFmtId="164" fontId="10" fillId="0" borderId="95" xfId="0" applyNumberFormat="1" applyFont="1" applyBorder="1" applyAlignment="1">
      <alignment horizontal="center" vertical="center"/>
    </xf>
    <xf numFmtId="164" fontId="10" fillId="0" borderId="97" xfId="0" applyNumberFormat="1" applyFont="1" applyBorder="1" applyAlignment="1">
      <alignment horizontal="center" vertical="center"/>
    </xf>
    <xf numFmtId="0" fontId="11" fillId="15" borderId="118" xfId="0" applyFont="1" applyFill="1" applyBorder="1" applyAlignment="1">
      <alignment horizontal="center" vertical="center"/>
    </xf>
    <xf numFmtId="0" fontId="11" fillId="12" borderId="58" xfId="0" applyFont="1" applyFill="1" applyBorder="1" applyAlignment="1">
      <alignment horizontal="center" vertical="center"/>
    </xf>
    <xf numFmtId="0" fontId="11" fillId="11" borderId="58" xfId="0" applyFont="1" applyFill="1" applyBorder="1" applyAlignment="1">
      <alignment horizontal="center" vertical="center"/>
    </xf>
    <xf numFmtId="0" fontId="11" fillId="7" borderId="58" xfId="0" applyFont="1" applyFill="1" applyBorder="1" applyAlignment="1">
      <alignment horizontal="center" vertical="center"/>
    </xf>
    <xf numFmtId="0" fontId="11" fillId="8" borderId="58" xfId="0" applyFont="1" applyFill="1" applyBorder="1" applyAlignment="1">
      <alignment horizontal="center" vertical="center"/>
    </xf>
    <xf numFmtId="164" fontId="10" fillId="2" borderId="107" xfId="0" applyNumberFormat="1" applyFont="1" applyFill="1" applyBorder="1" applyAlignment="1">
      <alignment horizontal="center" vertical="center" wrapText="1"/>
    </xf>
    <xf numFmtId="164" fontId="10" fillId="2" borderId="95" xfId="0" applyNumberFormat="1" applyFont="1" applyFill="1" applyBorder="1" applyAlignment="1">
      <alignment horizontal="center" vertical="center" wrapText="1"/>
    </xf>
    <xf numFmtId="164" fontId="10" fillId="2" borderId="97" xfId="0" applyNumberFormat="1" applyFont="1" applyFill="1" applyBorder="1" applyAlignment="1">
      <alignment horizontal="center" vertical="center" wrapText="1"/>
    </xf>
    <xf numFmtId="0" fontId="11" fillId="4" borderId="58" xfId="0" applyFont="1" applyFill="1" applyBorder="1" applyAlignment="1">
      <alignment horizontal="center" vertical="center"/>
    </xf>
    <xf numFmtId="0" fontId="11" fillId="4" borderId="76" xfId="0" applyFont="1" applyFill="1" applyBorder="1" applyAlignment="1">
      <alignment horizontal="center" vertical="center"/>
    </xf>
    <xf numFmtId="0" fontId="11" fillId="5" borderId="58" xfId="0" applyFont="1" applyFill="1" applyBorder="1" applyAlignment="1">
      <alignment horizontal="center" vertical="center"/>
    </xf>
    <xf numFmtId="0" fontId="11" fillId="5" borderId="76" xfId="0" applyFont="1" applyFill="1" applyBorder="1" applyAlignment="1">
      <alignment horizontal="center" vertical="center"/>
    </xf>
    <xf numFmtId="0" fontId="11" fillId="10" borderId="58" xfId="0" applyFont="1" applyFill="1" applyBorder="1" applyAlignment="1">
      <alignment horizontal="center" vertical="center"/>
    </xf>
    <xf numFmtId="0" fontId="11" fillId="10" borderId="76" xfId="0" applyFont="1" applyFill="1" applyBorder="1" applyAlignment="1">
      <alignment horizontal="center" vertical="center"/>
    </xf>
    <xf numFmtId="164" fontId="11" fillId="10" borderId="94" xfId="0" applyNumberFormat="1" applyFont="1" applyFill="1" applyBorder="1" applyAlignment="1">
      <alignment horizontal="center" vertical="center"/>
    </xf>
    <xf numFmtId="164" fontId="11" fillId="10" borderId="58" xfId="0" applyNumberFormat="1" applyFont="1" applyFill="1" applyBorder="1" applyAlignment="1">
      <alignment horizontal="center" vertical="center"/>
    </xf>
    <xf numFmtId="164" fontId="11" fillId="10" borderId="95" xfId="0" applyNumberFormat="1" applyFont="1" applyFill="1" applyBorder="1" applyAlignment="1">
      <alignment horizontal="center" vertical="center"/>
    </xf>
    <xf numFmtId="164" fontId="11" fillId="10" borderId="77" xfId="0" applyNumberFormat="1" applyFont="1" applyFill="1" applyBorder="1" applyAlignment="1">
      <alignment horizontal="center" vertical="center"/>
    </xf>
    <xf numFmtId="164" fontId="11" fillId="10" borderId="78" xfId="0" applyNumberFormat="1" applyFont="1" applyFill="1" applyBorder="1" applyAlignment="1">
      <alignment horizontal="center" vertical="center"/>
    </xf>
    <xf numFmtId="0" fontId="11" fillId="14" borderId="118" xfId="0" applyFont="1" applyFill="1" applyBorder="1" applyAlignment="1">
      <alignment horizontal="center" vertical="center"/>
    </xf>
    <xf numFmtId="0" fontId="11" fillId="14" borderId="119" xfId="0" applyFont="1" applyFill="1" applyBorder="1" applyAlignment="1">
      <alignment horizontal="center" vertical="center"/>
    </xf>
    <xf numFmtId="164" fontId="11" fillId="14" borderId="115" xfId="0" applyNumberFormat="1" applyFont="1" applyFill="1" applyBorder="1" applyAlignment="1">
      <alignment horizontal="center" vertical="center"/>
    </xf>
    <xf numFmtId="164" fontId="11" fillId="14" borderId="116" xfId="0" applyNumberFormat="1" applyFont="1" applyFill="1" applyBorder="1" applyAlignment="1">
      <alignment horizontal="center" vertical="center"/>
    </xf>
    <xf numFmtId="164" fontId="11" fillId="14" borderId="117" xfId="0" applyNumberFormat="1" applyFont="1" applyFill="1" applyBorder="1" applyAlignment="1">
      <alignment horizontal="center" vertical="center"/>
    </xf>
    <xf numFmtId="164" fontId="11" fillId="14" borderId="120" xfId="0" applyNumberFormat="1" applyFont="1" applyFill="1" applyBorder="1" applyAlignment="1">
      <alignment horizontal="center" vertical="center"/>
    </xf>
    <xf numFmtId="164" fontId="11" fillId="14" borderId="77" xfId="0" applyNumberFormat="1" applyFont="1" applyFill="1" applyBorder="1" applyAlignment="1">
      <alignment horizontal="center" vertical="center"/>
    </xf>
    <xf numFmtId="164" fontId="11" fillId="14" borderId="78" xfId="0" applyNumberFormat="1" applyFont="1" applyFill="1" applyBorder="1" applyAlignment="1">
      <alignment horizontal="center" vertical="center"/>
    </xf>
    <xf numFmtId="0" fontId="16" fillId="9" borderId="118" xfId="0" applyFont="1" applyFill="1" applyBorder="1" applyAlignment="1">
      <alignment horizontal="center" vertical="center" wrapText="1"/>
    </xf>
    <xf numFmtId="0" fontId="15" fillId="7" borderId="118" xfId="0" applyFont="1" applyFill="1" applyBorder="1" applyAlignment="1">
      <alignment horizontal="center" vertical="center" wrapText="1"/>
    </xf>
    <xf numFmtId="0" fontId="15" fillId="19" borderId="119" xfId="0" applyFont="1" applyFill="1" applyBorder="1" applyAlignment="1">
      <alignment horizontal="center" vertical="center" wrapText="1"/>
    </xf>
    <xf numFmtId="0" fontId="15" fillId="19" borderId="122" xfId="0" applyFont="1" applyFill="1" applyBorder="1" applyAlignment="1">
      <alignment horizontal="center" vertical="center" wrapText="1"/>
    </xf>
    <xf numFmtId="0" fontId="15" fillId="7" borderId="121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10" borderId="119" xfId="0" applyFont="1" applyFill="1" applyBorder="1" applyAlignment="1">
      <alignment horizontal="center" vertical="center" wrapText="1"/>
    </xf>
    <xf numFmtId="0" fontId="15" fillId="10" borderId="122" xfId="0" applyFont="1" applyFill="1" applyBorder="1" applyAlignment="1">
      <alignment horizontal="center" vertical="center" wrapText="1"/>
    </xf>
    <xf numFmtId="44" fontId="15" fillId="10" borderId="119" xfId="0" applyNumberFormat="1" applyFont="1" applyFill="1" applyBorder="1" applyAlignment="1">
      <alignment horizontal="center" vertical="center" wrapText="1"/>
    </xf>
    <xf numFmtId="44" fontId="15" fillId="10" borderId="122" xfId="0" applyNumberFormat="1" applyFont="1" applyFill="1" applyBorder="1" applyAlignment="1">
      <alignment horizontal="center" vertical="center" wrapText="1"/>
    </xf>
    <xf numFmtId="0" fontId="16" fillId="16" borderId="123" xfId="0" applyFont="1" applyFill="1" applyBorder="1" applyAlignment="1">
      <alignment horizontal="center" vertical="center" wrapText="1"/>
    </xf>
    <xf numFmtId="0" fontId="16" fillId="16" borderId="124" xfId="0" applyFont="1" applyFill="1" applyBorder="1" applyAlignment="1">
      <alignment horizontal="center" vertical="center" wrapText="1"/>
    </xf>
    <xf numFmtId="0" fontId="16" fillId="16" borderId="125" xfId="0" applyFont="1" applyFill="1" applyBorder="1" applyAlignment="1">
      <alignment horizontal="center" vertical="center" wrapText="1"/>
    </xf>
    <xf numFmtId="0" fontId="16" fillId="9" borderId="119" xfId="0" applyFont="1" applyFill="1" applyBorder="1" applyAlignment="1">
      <alignment horizontal="center" vertical="center" wrapText="1"/>
    </xf>
    <xf numFmtId="0" fontId="16" fillId="9" borderId="122" xfId="0" applyFont="1" applyFill="1" applyBorder="1" applyAlignment="1">
      <alignment horizontal="center" vertical="center" wrapText="1"/>
    </xf>
    <xf numFmtId="0" fontId="9" fillId="3" borderId="58" xfId="0" applyFont="1" applyFill="1" applyBorder="1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1</xdr:row>
      <xdr:rowOff>9524</xdr:rowOff>
    </xdr:from>
    <xdr:to>
      <xdr:col>1</xdr:col>
      <xdr:colOff>447674</xdr:colOff>
      <xdr:row>7</xdr:row>
      <xdr:rowOff>57149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13451BB-2873-4086-90D3-380DD11F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00049" y="200024"/>
          <a:ext cx="1190625" cy="1190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1</xdr:row>
      <xdr:rowOff>9524</xdr:rowOff>
    </xdr:from>
    <xdr:to>
      <xdr:col>1</xdr:col>
      <xdr:colOff>409574</xdr:colOff>
      <xdr:row>7</xdr:row>
      <xdr:rowOff>57149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E535BF-A7DF-4F63-B580-ED628739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00049" y="200024"/>
          <a:ext cx="1190625" cy="1190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opLeftCell="A16" zoomScale="80" zoomScaleNormal="80" zoomScaleSheetLayoutView="50" workbookViewId="0">
      <selection activeCell="E40" sqref="E40"/>
    </sheetView>
  </sheetViews>
  <sheetFormatPr baseColWidth="10" defaultColWidth="11.42578125" defaultRowHeight="12" x14ac:dyDescent="0.25"/>
  <cols>
    <col min="1" max="1" width="36" style="1" customWidth="1"/>
    <col min="2" max="2" width="58.42578125" style="1" customWidth="1"/>
    <col min="3" max="3" width="29.42578125" style="1" customWidth="1"/>
    <col min="4" max="4" width="23.140625" style="1" customWidth="1"/>
    <col min="5" max="5" width="23" style="1" customWidth="1"/>
    <col min="6" max="6" width="28.7109375" style="3" customWidth="1"/>
    <col min="7" max="7" width="20.85546875" style="2" customWidth="1"/>
    <col min="8" max="8" width="18.85546875" style="1" customWidth="1"/>
    <col min="9" max="9" width="27.7109375" style="1" customWidth="1"/>
    <col min="10" max="16384" width="11.42578125" style="1"/>
  </cols>
  <sheetData>
    <row r="1" spans="1:8" x14ac:dyDescent="0.25">
      <c r="F1" s="13"/>
      <c r="G1" s="1"/>
    </row>
    <row r="2" spans="1:8" ht="17.100000000000001" customHeight="1" x14ac:dyDescent="0.25">
      <c r="A2" s="2"/>
      <c r="B2" s="16"/>
      <c r="C2" s="14"/>
      <c r="D2" s="14"/>
      <c r="E2" s="14"/>
      <c r="F2" s="14"/>
      <c r="G2" s="14"/>
    </row>
    <row r="3" spans="1:8" ht="24" customHeight="1" x14ac:dyDescent="0.25">
      <c r="A3" s="2"/>
      <c r="B3" s="276" t="s">
        <v>3</v>
      </c>
      <c r="C3" s="270" t="s">
        <v>0</v>
      </c>
      <c r="D3" s="270" t="s">
        <v>1</v>
      </c>
      <c r="E3" s="270" t="s">
        <v>2</v>
      </c>
      <c r="F3" s="268" t="s">
        <v>8</v>
      </c>
      <c r="G3" s="269"/>
      <c r="H3" s="269"/>
    </row>
    <row r="4" spans="1:8" ht="16.149999999999999" customHeight="1" x14ac:dyDescent="0.25">
      <c r="A4" s="2"/>
      <c r="B4" s="276"/>
      <c r="C4" s="270"/>
      <c r="D4" s="270"/>
      <c r="E4" s="270"/>
      <c r="F4" s="58" t="s">
        <v>7</v>
      </c>
      <c r="G4" s="59" t="s">
        <v>6</v>
      </c>
      <c r="H4" s="44" t="s">
        <v>82</v>
      </c>
    </row>
    <row r="5" spans="1:8" ht="22.9" customHeight="1" x14ac:dyDescent="0.25">
      <c r="A5" s="271" t="s">
        <v>11</v>
      </c>
      <c r="B5" s="17" t="s">
        <v>48</v>
      </c>
      <c r="C5" s="18">
        <f>F5+G5</f>
        <v>975</v>
      </c>
      <c r="D5" s="18">
        <f>C5*0.2</f>
        <v>195</v>
      </c>
      <c r="E5" s="18">
        <f>C5+D5</f>
        <v>1170</v>
      </c>
      <c r="F5" s="18">
        <v>975</v>
      </c>
      <c r="G5" s="18">
        <v>0</v>
      </c>
      <c r="H5" s="18">
        <v>0</v>
      </c>
    </row>
    <row r="6" spans="1:8" ht="31.15" customHeight="1" x14ac:dyDescent="0.25">
      <c r="A6" s="271"/>
      <c r="B6" s="17" t="s">
        <v>74</v>
      </c>
      <c r="C6" s="18">
        <f t="shared" ref="C6:C7" si="0">F6+G6</f>
        <v>150</v>
      </c>
      <c r="D6" s="18">
        <f>C6*0.2</f>
        <v>30</v>
      </c>
      <c r="E6" s="18">
        <f>C6+D6</f>
        <v>180</v>
      </c>
      <c r="F6" s="18">
        <v>150</v>
      </c>
      <c r="G6" s="18">
        <v>0</v>
      </c>
      <c r="H6" s="18">
        <v>0</v>
      </c>
    </row>
    <row r="7" spans="1:8" ht="32.25" customHeight="1" x14ac:dyDescent="0.25">
      <c r="A7" s="271"/>
      <c r="B7" s="17" t="s">
        <v>76</v>
      </c>
      <c r="C7" s="18">
        <f t="shared" si="0"/>
        <v>1300</v>
      </c>
      <c r="D7" s="18">
        <f>C7*0.2</f>
        <v>260</v>
      </c>
      <c r="E7" s="18">
        <f>C7+D7</f>
        <v>1560</v>
      </c>
      <c r="F7" s="18">
        <v>1300</v>
      </c>
      <c r="G7" s="18">
        <v>0</v>
      </c>
      <c r="H7" s="18">
        <v>0</v>
      </c>
    </row>
    <row r="8" spans="1:8" ht="17.100000000000001" customHeight="1" x14ac:dyDescent="0.25">
      <c r="A8" s="2"/>
      <c r="B8" s="4"/>
      <c r="C8" s="4"/>
      <c r="D8" s="4"/>
      <c r="E8" s="4"/>
      <c r="F8" s="15"/>
      <c r="G8" s="15"/>
    </row>
    <row r="9" spans="1:8" ht="17.100000000000001" customHeight="1" x14ac:dyDescent="0.25">
      <c r="A9" s="2"/>
      <c r="B9" s="7" t="s">
        <v>5</v>
      </c>
      <c r="C9" s="8">
        <f>SUM(C5:C7)</f>
        <v>2425</v>
      </c>
      <c r="D9" s="8">
        <f>SUM(D5:D7)</f>
        <v>485</v>
      </c>
      <c r="E9" s="8">
        <f>SUM(E5:E7)</f>
        <v>2910</v>
      </c>
      <c r="F9" s="8">
        <f>SUM(F5:F7)</f>
        <v>2425</v>
      </c>
      <c r="G9" s="8">
        <f>SUM(G5:G7)</f>
        <v>0</v>
      </c>
      <c r="H9" s="8">
        <f t="shared" ref="H9" si="1">SUM(H5:H7)</f>
        <v>0</v>
      </c>
    </row>
    <row r="10" spans="1:8" s="11" customFormat="1" ht="17.100000000000001" customHeight="1" x14ac:dyDescent="0.25">
      <c r="A10" s="2"/>
      <c r="B10" s="9"/>
      <c r="C10" s="10"/>
      <c r="D10" s="10"/>
      <c r="E10" s="10"/>
      <c r="F10" s="15"/>
      <c r="G10" s="15"/>
    </row>
    <row r="11" spans="1:8" ht="17.100000000000001" customHeight="1" x14ac:dyDescent="0.25">
      <c r="A11" s="2"/>
      <c r="B11" s="5" t="s">
        <v>111</v>
      </c>
      <c r="C11" s="6">
        <f>C9*11</f>
        <v>26675</v>
      </c>
      <c r="D11" s="6">
        <f t="shared" ref="D11:H11" si="2">D9*11</f>
        <v>5335</v>
      </c>
      <c r="E11" s="6">
        <f t="shared" si="2"/>
        <v>32010</v>
      </c>
      <c r="F11" s="6">
        <f t="shared" si="2"/>
        <v>26675</v>
      </c>
      <c r="G11" s="6">
        <f t="shared" si="2"/>
        <v>0</v>
      </c>
      <c r="H11" s="6">
        <f t="shared" si="2"/>
        <v>0</v>
      </c>
    </row>
    <row r="12" spans="1:8" ht="17.100000000000001" customHeight="1" x14ac:dyDescent="0.25">
      <c r="A12" s="2"/>
      <c r="B12" s="16"/>
      <c r="C12" s="14"/>
      <c r="D12" s="14"/>
      <c r="E12" s="14"/>
      <c r="F12" s="14"/>
      <c r="G12" s="14"/>
      <c r="H12" s="14"/>
    </row>
    <row r="13" spans="1:8" ht="17.100000000000001" customHeight="1" x14ac:dyDescent="0.25">
      <c r="A13" s="2"/>
      <c r="B13" s="276" t="s">
        <v>3</v>
      </c>
      <c r="C13" s="270" t="s">
        <v>0</v>
      </c>
      <c r="D13" s="270" t="s">
        <v>1</v>
      </c>
      <c r="E13" s="270" t="s">
        <v>2</v>
      </c>
      <c r="F13" s="268" t="s">
        <v>8</v>
      </c>
      <c r="G13" s="269"/>
      <c r="H13" s="269"/>
    </row>
    <row r="14" spans="1:8" ht="17.100000000000001" customHeight="1" x14ac:dyDescent="0.25">
      <c r="A14" s="2"/>
      <c r="B14" s="276"/>
      <c r="C14" s="270"/>
      <c r="D14" s="270"/>
      <c r="E14" s="270"/>
      <c r="F14" s="58" t="s">
        <v>7</v>
      </c>
      <c r="G14" s="59" t="s">
        <v>6</v>
      </c>
      <c r="H14" s="44" t="s">
        <v>82</v>
      </c>
    </row>
    <row r="15" spans="1:8" ht="27" customHeight="1" x14ac:dyDescent="0.25">
      <c r="A15" s="271" t="s">
        <v>109</v>
      </c>
      <c r="B15" s="17" t="s">
        <v>48</v>
      </c>
      <c r="C15" s="18">
        <f>F15+G15</f>
        <v>975</v>
      </c>
      <c r="D15" s="18">
        <f>C15*0.2</f>
        <v>195</v>
      </c>
      <c r="E15" s="18">
        <f>C15+D15</f>
        <v>1170</v>
      </c>
      <c r="F15" s="18">
        <v>975</v>
      </c>
      <c r="G15" s="18">
        <v>0</v>
      </c>
      <c r="H15" s="18">
        <v>0</v>
      </c>
    </row>
    <row r="16" spans="1:8" ht="26.25" customHeight="1" x14ac:dyDescent="0.25">
      <c r="A16" s="271"/>
      <c r="B16" s="17" t="s">
        <v>74</v>
      </c>
      <c r="C16" s="18">
        <f>F16+G16</f>
        <v>150</v>
      </c>
      <c r="D16" s="18">
        <f>C16*0.2</f>
        <v>30</v>
      </c>
      <c r="E16" s="18">
        <f>C16+D16</f>
        <v>180</v>
      </c>
      <c r="F16" s="18">
        <v>150</v>
      </c>
      <c r="G16" s="18">
        <v>0</v>
      </c>
      <c r="H16" s="18">
        <v>0</v>
      </c>
    </row>
    <row r="17" spans="1:8" ht="17.100000000000001" customHeight="1" x14ac:dyDescent="0.25">
      <c r="A17" s="2"/>
      <c r="B17" s="4"/>
      <c r="C17" s="4"/>
      <c r="D17" s="4"/>
      <c r="E17" s="4"/>
      <c r="F17" s="15"/>
      <c r="G17" s="15"/>
    </row>
    <row r="18" spans="1:8" ht="17.100000000000001" customHeight="1" x14ac:dyDescent="0.25">
      <c r="A18" s="2"/>
      <c r="B18" s="7" t="s">
        <v>5</v>
      </c>
      <c r="C18" s="8">
        <f t="shared" ref="C18:H18" si="3">SUM(C15:C16)</f>
        <v>1125</v>
      </c>
      <c r="D18" s="8">
        <f t="shared" si="3"/>
        <v>225</v>
      </c>
      <c r="E18" s="8">
        <f t="shared" si="3"/>
        <v>1350</v>
      </c>
      <c r="F18" s="8">
        <f t="shared" si="3"/>
        <v>1125</v>
      </c>
      <c r="G18" s="8">
        <f t="shared" si="3"/>
        <v>0</v>
      </c>
      <c r="H18" s="8">
        <f t="shared" si="3"/>
        <v>0</v>
      </c>
    </row>
    <row r="19" spans="1:8" ht="17.100000000000001" customHeight="1" x14ac:dyDescent="0.25">
      <c r="A19" s="2"/>
      <c r="B19" s="9"/>
      <c r="C19" s="10"/>
      <c r="D19" s="10"/>
      <c r="E19" s="10"/>
      <c r="F19" s="15"/>
      <c r="G19" s="15"/>
      <c r="H19" s="11"/>
    </row>
    <row r="20" spans="1:8" ht="17.100000000000001" customHeight="1" x14ac:dyDescent="0.25">
      <c r="A20" s="2"/>
      <c r="B20" s="5" t="s">
        <v>110</v>
      </c>
      <c r="C20" s="6">
        <f>C18*20</f>
        <v>22500</v>
      </c>
      <c r="D20" s="6">
        <f t="shared" ref="D20:H20" si="4">D18*20</f>
        <v>4500</v>
      </c>
      <c r="E20" s="6">
        <f t="shared" si="4"/>
        <v>27000</v>
      </c>
      <c r="F20" s="6">
        <f t="shared" si="4"/>
        <v>22500</v>
      </c>
      <c r="G20" s="6">
        <f t="shared" si="4"/>
        <v>0</v>
      </c>
      <c r="H20" s="6">
        <f t="shared" si="4"/>
        <v>0</v>
      </c>
    </row>
    <row r="21" spans="1:8" ht="17.100000000000001" customHeight="1" x14ac:dyDescent="0.25">
      <c r="A21" s="2"/>
      <c r="B21" s="16"/>
      <c r="C21" s="14"/>
      <c r="D21" s="14"/>
      <c r="E21" s="14"/>
      <c r="F21" s="14"/>
      <c r="G21" s="14"/>
      <c r="H21" s="14"/>
    </row>
    <row r="22" spans="1:8" ht="17.100000000000001" customHeight="1" x14ac:dyDescent="0.25">
      <c r="A22" s="2"/>
      <c r="B22" s="16"/>
      <c r="C22" s="14"/>
      <c r="D22" s="14"/>
      <c r="E22" s="14"/>
      <c r="F22" s="14"/>
      <c r="G22" s="14"/>
      <c r="H22" s="14"/>
    </row>
    <row r="23" spans="1:8" ht="17.100000000000001" customHeight="1" x14ac:dyDescent="0.25">
      <c r="A23" s="2"/>
      <c r="B23" s="276" t="s">
        <v>3</v>
      </c>
      <c r="C23" s="270" t="s">
        <v>0</v>
      </c>
      <c r="D23" s="270" t="s">
        <v>1</v>
      </c>
      <c r="E23" s="270" t="s">
        <v>2</v>
      </c>
      <c r="F23" s="268" t="s">
        <v>8</v>
      </c>
      <c r="G23" s="269"/>
      <c r="H23" s="269"/>
    </row>
    <row r="24" spans="1:8" ht="17.100000000000001" customHeight="1" x14ac:dyDescent="0.25">
      <c r="A24" s="2"/>
      <c r="B24" s="276"/>
      <c r="C24" s="270"/>
      <c r="D24" s="270"/>
      <c r="E24" s="270"/>
      <c r="F24" s="58" t="s">
        <v>7</v>
      </c>
      <c r="G24" s="59" t="s">
        <v>6</v>
      </c>
      <c r="H24" s="44" t="s">
        <v>82</v>
      </c>
    </row>
    <row r="25" spans="1:8" ht="49.15" customHeight="1" x14ac:dyDescent="0.25">
      <c r="A25" s="42" t="s">
        <v>52</v>
      </c>
      <c r="B25" s="17" t="s">
        <v>120</v>
      </c>
      <c r="C25" s="18">
        <f>F25+G25</f>
        <v>975</v>
      </c>
      <c r="D25" s="18">
        <f>C25*0.2</f>
        <v>195</v>
      </c>
      <c r="E25" s="18">
        <f>C25+D25</f>
        <v>1170</v>
      </c>
      <c r="F25" s="18">
        <v>0</v>
      </c>
      <c r="G25" s="18">
        <v>975</v>
      </c>
      <c r="H25" s="18">
        <v>0</v>
      </c>
    </row>
    <row r="26" spans="1:8" ht="17.100000000000001" customHeight="1" x14ac:dyDescent="0.25">
      <c r="A26" s="2"/>
      <c r="B26" s="4"/>
      <c r="C26" s="4"/>
      <c r="D26" s="4"/>
      <c r="E26" s="4"/>
      <c r="F26" s="15"/>
      <c r="G26" s="15"/>
    </row>
    <row r="27" spans="1:8" ht="17.100000000000001" customHeight="1" x14ac:dyDescent="0.25">
      <c r="A27" s="2"/>
      <c r="B27" s="7" t="s">
        <v>5</v>
      </c>
      <c r="C27" s="8">
        <f t="shared" ref="C27:H27" si="5">SUM(C25:C25)</f>
        <v>975</v>
      </c>
      <c r="D27" s="8">
        <f t="shared" si="5"/>
        <v>195</v>
      </c>
      <c r="E27" s="8">
        <f t="shared" si="5"/>
        <v>1170</v>
      </c>
      <c r="F27" s="8">
        <f t="shared" si="5"/>
        <v>0</v>
      </c>
      <c r="G27" s="8">
        <f t="shared" si="5"/>
        <v>975</v>
      </c>
      <c r="H27" s="8">
        <f t="shared" si="5"/>
        <v>0</v>
      </c>
    </row>
    <row r="28" spans="1:8" ht="17.100000000000001" customHeight="1" x14ac:dyDescent="0.25">
      <c r="A28" s="2"/>
      <c r="B28" s="9"/>
      <c r="C28" s="10"/>
      <c r="D28" s="10"/>
      <c r="E28" s="10"/>
      <c r="F28" s="15"/>
      <c r="G28" s="15"/>
      <c r="H28" s="11"/>
    </row>
    <row r="29" spans="1:8" ht="17.100000000000001" customHeight="1" x14ac:dyDescent="0.25">
      <c r="A29" s="2"/>
      <c r="B29" s="5" t="s">
        <v>107</v>
      </c>
      <c r="C29" s="6">
        <f>C27*13</f>
        <v>12675</v>
      </c>
      <c r="D29" s="6">
        <f t="shared" ref="D29:H29" si="6">D27*13</f>
        <v>2535</v>
      </c>
      <c r="E29" s="6">
        <f t="shared" si="6"/>
        <v>15210</v>
      </c>
      <c r="F29" s="6">
        <f t="shared" si="6"/>
        <v>0</v>
      </c>
      <c r="G29" s="6">
        <f t="shared" si="6"/>
        <v>12675</v>
      </c>
      <c r="H29" s="6">
        <f t="shared" si="6"/>
        <v>0</v>
      </c>
    </row>
    <row r="30" spans="1:8" ht="17.100000000000001" customHeight="1" x14ac:dyDescent="0.25">
      <c r="A30" s="2"/>
      <c r="B30" s="16"/>
      <c r="C30" s="14"/>
      <c r="D30" s="14"/>
      <c r="E30" s="14"/>
      <c r="F30" s="14"/>
      <c r="G30" s="14"/>
      <c r="H30" s="14"/>
    </row>
    <row r="31" spans="1:8" ht="17.100000000000001" customHeight="1" x14ac:dyDescent="0.25">
      <c r="A31" s="2"/>
      <c r="B31" s="272" t="s">
        <v>3</v>
      </c>
      <c r="C31" s="274" t="s">
        <v>0</v>
      </c>
      <c r="D31" s="274" t="s">
        <v>1</v>
      </c>
      <c r="E31" s="274" t="s">
        <v>2</v>
      </c>
      <c r="F31" s="268" t="s">
        <v>8</v>
      </c>
      <c r="G31" s="269"/>
      <c r="H31" s="269"/>
    </row>
    <row r="32" spans="1:8" ht="17.100000000000001" customHeight="1" x14ac:dyDescent="0.25">
      <c r="A32" s="2"/>
      <c r="B32" s="273"/>
      <c r="C32" s="275"/>
      <c r="D32" s="275"/>
      <c r="E32" s="275"/>
      <c r="F32" s="58" t="s">
        <v>7</v>
      </c>
      <c r="G32" s="59" t="s">
        <v>6</v>
      </c>
      <c r="H32" s="44" t="s">
        <v>82</v>
      </c>
    </row>
    <row r="33" spans="1:8" ht="43.5" customHeight="1" x14ac:dyDescent="0.25">
      <c r="A33" s="42" t="s">
        <v>16</v>
      </c>
      <c r="B33" s="45" t="s">
        <v>49</v>
      </c>
      <c r="C33" s="18">
        <f>SUM(F33:H33)</f>
        <v>4100</v>
      </c>
      <c r="D33" s="18">
        <f>C33*0.2</f>
        <v>820</v>
      </c>
      <c r="E33" s="18">
        <f>SUM(C33:D33)</f>
        <v>4920</v>
      </c>
      <c r="F33" s="18">
        <v>1300</v>
      </c>
      <c r="G33" s="18">
        <v>1300</v>
      </c>
      <c r="H33" s="18">
        <v>1500</v>
      </c>
    </row>
    <row r="34" spans="1:8" ht="12.6" customHeight="1" x14ac:dyDescent="0.25">
      <c r="A34" s="9"/>
      <c r="B34" s="16"/>
      <c r="C34" s="14"/>
      <c r="D34" s="14"/>
      <c r="E34" s="14"/>
      <c r="F34" s="15"/>
      <c r="G34" s="15"/>
    </row>
    <row r="35" spans="1:8" ht="17.100000000000001" customHeight="1" x14ac:dyDescent="0.25">
      <c r="A35" s="2"/>
      <c r="B35" s="5" t="s">
        <v>115</v>
      </c>
      <c r="C35" s="6">
        <f>SUM(C33:C33)</f>
        <v>4100</v>
      </c>
      <c r="D35" s="6">
        <f>SUM(D33:D33)</f>
        <v>820</v>
      </c>
      <c r="E35" s="6">
        <f>SUM(E33:E33)</f>
        <v>4920</v>
      </c>
      <c r="F35" s="6">
        <f>SUM(F33:F33)</f>
        <v>1300</v>
      </c>
      <c r="G35" s="6">
        <f>SUM(G33:G33)</f>
        <v>1300</v>
      </c>
      <c r="H35" s="6">
        <f t="shared" ref="H35" si="7">SUM(H33:H33)</f>
        <v>1500</v>
      </c>
    </row>
    <row r="36" spans="1:8" ht="17.100000000000001" customHeight="1" x14ac:dyDescent="0.25">
      <c r="A36" s="2"/>
      <c r="B36" s="16"/>
      <c r="C36" s="14"/>
      <c r="D36" s="14"/>
      <c r="E36" s="14"/>
      <c r="F36" s="15"/>
      <c r="G36" s="15"/>
    </row>
    <row r="37" spans="1:8" ht="17.100000000000001" customHeight="1" x14ac:dyDescent="0.25">
      <c r="A37" s="2"/>
      <c r="B37" s="276" t="s">
        <v>3</v>
      </c>
      <c r="C37" s="270" t="s">
        <v>0</v>
      </c>
      <c r="D37" s="270" t="s">
        <v>1</v>
      </c>
      <c r="E37" s="270" t="s">
        <v>2</v>
      </c>
      <c r="F37" s="268" t="s">
        <v>8</v>
      </c>
      <c r="G37" s="269"/>
      <c r="H37" s="269"/>
    </row>
    <row r="38" spans="1:8" ht="17.100000000000001" customHeight="1" x14ac:dyDescent="0.25">
      <c r="A38" s="2"/>
      <c r="B38" s="276"/>
      <c r="C38" s="270"/>
      <c r="D38" s="270"/>
      <c r="E38" s="270"/>
      <c r="F38" s="58" t="s">
        <v>7</v>
      </c>
      <c r="G38" s="59" t="s">
        <v>6</v>
      </c>
      <c r="H38" s="44" t="s">
        <v>82</v>
      </c>
    </row>
    <row r="39" spans="1:8" ht="28.15" customHeight="1" x14ac:dyDescent="0.25">
      <c r="A39" s="277" t="s">
        <v>57</v>
      </c>
      <c r="B39" s="20" t="s">
        <v>50</v>
      </c>
      <c r="C39" s="18">
        <f>SUM(F39:G39)</f>
        <v>275</v>
      </c>
      <c r="D39" s="18">
        <f>C39*0.2</f>
        <v>55</v>
      </c>
      <c r="E39" s="18">
        <f>C39+D39</f>
        <v>330</v>
      </c>
      <c r="F39" s="18">
        <v>0</v>
      </c>
      <c r="G39" s="18">
        <v>275</v>
      </c>
      <c r="H39" s="18">
        <v>0</v>
      </c>
    </row>
    <row r="40" spans="1:8" ht="28.15" customHeight="1" x14ac:dyDescent="0.25">
      <c r="A40" s="277"/>
      <c r="B40" s="20" t="s">
        <v>127</v>
      </c>
      <c r="C40" s="18">
        <f>SUM(F40:G40)</f>
        <v>550</v>
      </c>
      <c r="D40" s="18">
        <f>C40*0.2</f>
        <v>110</v>
      </c>
      <c r="E40" s="18">
        <f>C40+D40</f>
        <v>660</v>
      </c>
      <c r="F40" s="18">
        <v>0</v>
      </c>
      <c r="G40" s="18">
        <v>550</v>
      </c>
      <c r="H40" s="18">
        <v>0</v>
      </c>
    </row>
    <row r="41" spans="1:8" ht="34.15" customHeight="1" x14ac:dyDescent="0.25">
      <c r="A41" s="277"/>
      <c r="B41" s="20" t="s">
        <v>81</v>
      </c>
      <c r="C41" s="18">
        <f>SUM(F41:G41)</f>
        <v>275</v>
      </c>
      <c r="D41" s="18">
        <f>C41*0.2</f>
        <v>55</v>
      </c>
      <c r="E41" s="18">
        <f>C41+D41</f>
        <v>330</v>
      </c>
      <c r="F41" s="18">
        <v>0</v>
      </c>
      <c r="G41" s="18">
        <v>275</v>
      </c>
      <c r="H41" s="18">
        <v>0</v>
      </c>
    </row>
    <row r="42" spans="1:8" ht="34.15" customHeight="1" x14ac:dyDescent="0.25">
      <c r="A42" s="277"/>
      <c r="B42" s="20" t="s">
        <v>47</v>
      </c>
      <c r="C42" s="18">
        <f t="shared" ref="C42" si="8">SUM(F42:G42)</f>
        <v>1950</v>
      </c>
      <c r="D42" s="18">
        <f t="shared" ref="D42" si="9">C42*0.2</f>
        <v>390</v>
      </c>
      <c r="E42" s="18">
        <f t="shared" ref="E42" si="10">C42+D42</f>
        <v>2340</v>
      </c>
      <c r="F42" s="18">
        <v>0</v>
      </c>
      <c r="G42" s="18">
        <v>1950</v>
      </c>
      <c r="H42" s="18">
        <v>0</v>
      </c>
    </row>
    <row r="43" spans="1:8" ht="30.75" customHeight="1" x14ac:dyDescent="0.25">
      <c r="A43" s="277"/>
      <c r="B43" s="20" t="s">
        <v>9</v>
      </c>
      <c r="C43" s="18">
        <f t="shared" ref="C43" si="11">SUM(F43:G43)</f>
        <v>325</v>
      </c>
      <c r="D43" s="18">
        <f t="shared" ref="D43" si="12">C43*0.2</f>
        <v>65</v>
      </c>
      <c r="E43" s="18">
        <f t="shared" ref="E43" si="13">C43+D43</f>
        <v>390</v>
      </c>
      <c r="F43" s="18">
        <v>0</v>
      </c>
      <c r="G43" s="18">
        <v>325</v>
      </c>
      <c r="H43" s="18">
        <v>0</v>
      </c>
    </row>
    <row r="44" spans="1:8" ht="17.100000000000001" customHeight="1" x14ac:dyDescent="0.25">
      <c r="A44" s="2"/>
      <c r="B44" s="16"/>
      <c r="C44" s="14"/>
      <c r="D44" s="14"/>
      <c r="E44" s="14"/>
      <c r="F44" s="15"/>
      <c r="G44" s="15"/>
    </row>
    <row r="45" spans="1:8" ht="17.100000000000001" customHeight="1" x14ac:dyDescent="0.25">
      <c r="A45" s="2"/>
      <c r="B45" s="7" t="s">
        <v>5</v>
      </c>
      <c r="C45" s="8">
        <f t="shared" ref="C45:H45" si="14">SUM(C39:C43)</f>
        <v>3375</v>
      </c>
      <c r="D45" s="8">
        <f t="shared" si="14"/>
        <v>675</v>
      </c>
      <c r="E45" s="8">
        <f t="shared" si="14"/>
        <v>4050</v>
      </c>
      <c r="F45" s="8">
        <f t="shared" si="14"/>
        <v>0</v>
      </c>
      <c r="G45" s="8">
        <f>SUM(G39:G43)</f>
        <v>3375</v>
      </c>
      <c r="H45" s="8">
        <f t="shared" si="14"/>
        <v>0</v>
      </c>
    </row>
    <row r="46" spans="1:8" ht="17.100000000000001" customHeight="1" x14ac:dyDescent="0.25">
      <c r="A46" s="2"/>
      <c r="B46" s="16"/>
      <c r="C46" s="14"/>
      <c r="D46" s="14"/>
      <c r="E46" s="14"/>
      <c r="F46" s="15"/>
      <c r="G46" s="15"/>
    </row>
    <row r="47" spans="1:8" ht="25.15" customHeight="1" x14ac:dyDescent="0.25">
      <c r="A47" s="9"/>
      <c r="B47" s="5" t="s">
        <v>111</v>
      </c>
      <c r="C47" s="6">
        <f>C45*11</f>
        <v>37125</v>
      </c>
      <c r="D47" s="6">
        <f t="shared" ref="D47:H47" si="15">D45*11</f>
        <v>7425</v>
      </c>
      <c r="E47" s="6">
        <f t="shared" si="15"/>
        <v>44550</v>
      </c>
      <c r="F47" s="6">
        <f t="shared" si="15"/>
        <v>0</v>
      </c>
      <c r="G47" s="6">
        <f t="shared" si="15"/>
        <v>37125</v>
      </c>
      <c r="H47" s="6">
        <f t="shared" si="15"/>
        <v>0</v>
      </c>
    </row>
    <row r="48" spans="1:8" ht="13.9" customHeight="1" x14ac:dyDescent="0.25">
      <c r="A48" s="16"/>
      <c r="B48" s="16"/>
      <c r="C48" s="14"/>
      <c r="D48" s="14"/>
      <c r="E48" s="14"/>
      <c r="F48" s="14"/>
      <c r="G48" s="14"/>
      <c r="H48" s="14"/>
    </row>
    <row r="49" spans="1:8" ht="13.9" customHeight="1" x14ac:dyDescent="0.25">
      <c r="A49" s="2"/>
      <c r="B49" s="276" t="s">
        <v>3</v>
      </c>
      <c r="C49" s="270" t="s">
        <v>0</v>
      </c>
      <c r="D49" s="270" t="s">
        <v>1</v>
      </c>
      <c r="E49" s="270" t="s">
        <v>2</v>
      </c>
      <c r="F49" s="268" t="s">
        <v>8</v>
      </c>
      <c r="G49" s="269"/>
      <c r="H49" s="269"/>
    </row>
    <row r="50" spans="1:8" ht="13.9" customHeight="1" x14ac:dyDescent="0.25">
      <c r="A50" s="2"/>
      <c r="B50" s="276"/>
      <c r="C50" s="270"/>
      <c r="D50" s="270"/>
      <c r="E50" s="270"/>
      <c r="F50" s="58" t="s">
        <v>7</v>
      </c>
      <c r="G50" s="59" t="s">
        <v>6</v>
      </c>
      <c r="H50" s="44" t="s">
        <v>82</v>
      </c>
    </row>
    <row r="51" spans="1:8" ht="40.5" customHeight="1" x14ac:dyDescent="0.25">
      <c r="A51" s="55" t="s">
        <v>83</v>
      </c>
      <c r="B51" s="17" t="s">
        <v>102</v>
      </c>
      <c r="C51" s="18">
        <f>SUM(F51:H51)</f>
        <v>650</v>
      </c>
      <c r="D51" s="18">
        <f>C51*0.2</f>
        <v>130</v>
      </c>
      <c r="E51" s="18">
        <f>C51+D51</f>
        <v>780</v>
      </c>
      <c r="F51" s="18">
        <v>0</v>
      </c>
      <c r="G51" s="18">
        <v>0</v>
      </c>
      <c r="H51" s="18">
        <v>650</v>
      </c>
    </row>
    <row r="52" spans="1:8" ht="13.9" customHeight="1" x14ac:dyDescent="0.25">
      <c r="A52" s="2"/>
      <c r="B52" s="16"/>
      <c r="C52" s="14"/>
      <c r="D52" s="14"/>
      <c r="E52" s="14"/>
      <c r="F52" s="15"/>
      <c r="G52" s="15"/>
    </row>
    <row r="53" spans="1:8" ht="13.9" customHeight="1" x14ac:dyDescent="0.25">
      <c r="A53" s="9"/>
      <c r="B53" s="7" t="s">
        <v>5</v>
      </c>
      <c r="C53" s="8">
        <f>SUM(C51)</f>
        <v>650</v>
      </c>
      <c r="D53" s="8">
        <f t="shared" ref="D53:H53" si="16">SUM(D51)</f>
        <v>130</v>
      </c>
      <c r="E53" s="8">
        <f t="shared" si="16"/>
        <v>780</v>
      </c>
      <c r="F53" s="8">
        <f t="shared" si="16"/>
        <v>0</v>
      </c>
      <c r="G53" s="8">
        <f t="shared" si="16"/>
        <v>0</v>
      </c>
      <c r="H53" s="8">
        <f t="shared" si="16"/>
        <v>650</v>
      </c>
    </row>
    <row r="54" spans="1:8" ht="13.9" customHeight="1" x14ac:dyDescent="0.25">
      <c r="A54" s="16"/>
      <c r="B54" s="16"/>
      <c r="C54" s="14"/>
      <c r="D54" s="14"/>
      <c r="E54" s="14"/>
      <c r="F54" s="15"/>
      <c r="G54" s="15"/>
    </row>
    <row r="55" spans="1:8" ht="13.9" customHeight="1" x14ac:dyDescent="0.25">
      <c r="A55" s="16"/>
      <c r="B55" s="5" t="s">
        <v>111</v>
      </c>
      <c r="C55" s="6">
        <f>C53*11</f>
        <v>7150</v>
      </c>
      <c r="D55" s="6">
        <f t="shared" ref="D55:H55" si="17">D53*11</f>
        <v>1430</v>
      </c>
      <c r="E55" s="6">
        <f t="shared" si="17"/>
        <v>8580</v>
      </c>
      <c r="F55" s="6">
        <f t="shared" si="17"/>
        <v>0</v>
      </c>
      <c r="G55" s="6">
        <f t="shared" si="17"/>
        <v>0</v>
      </c>
      <c r="H55" s="6">
        <f t="shared" si="17"/>
        <v>7150</v>
      </c>
    </row>
    <row r="56" spans="1:8" ht="13.9" customHeight="1" x14ac:dyDescent="0.25">
      <c r="A56" s="16"/>
      <c r="B56" s="16"/>
      <c r="C56" s="14"/>
      <c r="D56" s="14"/>
      <c r="E56" s="14"/>
      <c r="F56" s="14"/>
      <c r="G56" s="14"/>
      <c r="H56" s="14"/>
    </row>
    <row r="57" spans="1:8" ht="13.9" customHeight="1" x14ac:dyDescent="0.25">
      <c r="A57" s="2"/>
      <c r="B57" s="276" t="s">
        <v>3</v>
      </c>
      <c r="C57" s="270" t="s">
        <v>0</v>
      </c>
      <c r="D57" s="270" t="s">
        <v>1</v>
      </c>
      <c r="E57" s="270" t="s">
        <v>2</v>
      </c>
      <c r="F57" s="268" t="s">
        <v>8</v>
      </c>
      <c r="G57" s="269"/>
      <c r="H57" s="269"/>
    </row>
    <row r="58" spans="1:8" ht="13.9" customHeight="1" x14ac:dyDescent="0.25">
      <c r="A58" s="2"/>
      <c r="B58" s="276"/>
      <c r="C58" s="270"/>
      <c r="D58" s="270"/>
      <c r="E58" s="270"/>
      <c r="F58" s="58" t="s">
        <v>7</v>
      </c>
      <c r="G58" s="59" t="s">
        <v>6</v>
      </c>
      <c r="H58" s="44" t="s">
        <v>82</v>
      </c>
    </row>
    <row r="59" spans="1:8" ht="60.75" customHeight="1" x14ac:dyDescent="0.25">
      <c r="A59" s="55" t="s">
        <v>84</v>
      </c>
      <c r="B59" s="17" t="s">
        <v>101</v>
      </c>
      <c r="C59" s="18">
        <f>SUM(F59:H59)</f>
        <v>800</v>
      </c>
      <c r="D59" s="18">
        <f>C59*0.2</f>
        <v>160</v>
      </c>
      <c r="E59" s="18">
        <f>C59+D59</f>
        <v>960</v>
      </c>
      <c r="F59" s="18">
        <v>0</v>
      </c>
      <c r="G59" s="18">
        <v>0</v>
      </c>
      <c r="H59" s="18">
        <v>800</v>
      </c>
    </row>
    <row r="60" spans="1:8" ht="13.9" customHeight="1" x14ac:dyDescent="0.25">
      <c r="A60" s="2"/>
      <c r="B60" s="16"/>
      <c r="C60" s="14"/>
      <c r="D60" s="14"/>
      <c r="E60" s="14"/>
      <c r="F60" s="15"/>
      <c r="G60" s="15"/>
    </row>
    <row r="61" spans="1:8" ht="13.9" customHeight="1" x14ac:dyDescent="0.25">
      <c r="A61" s="9"/>
      <c r="B61" s="7" t="s">
        <v>5</v>
      </c>
      <c r="C61" s="8">
        <f>SUM(C59)</f>
        <v>800</v>
      </c>
      <c r="D61" s="8">
        <f t="shared" ref="D61:H61" si="18">SUM(D59)</f>
        <v>160</v>
      </c>
      <c r="E61" s="8">
        <f t="shared" si="18"/>
        <v>960</v>
      </c>
      <c r="F61" s="8">
        <f t="shared" si="18"/>
        <v>0</v>
      </c>
      <c r="G61" s="8">
        <f t="shared" si="18"/>
        <v>0</v>
      </c>
      <c r="H61" s="8">
        <f t="shared" si="18"/>
        <v>800</v>
      </c>
    </row>
    <row r="62" spans="1:8" ht="13.9" customHeight="1" x14ac:dyDescent="0.25">
      <c r="A62" s="16"/>
      <c r="B62" s="16"/>
      <c r="C62" s="14"/>
      <c r="D62" s="14"/>
      <c r="E62" s="14"/>
      <c r="F62" s="15"/>
      <c r="G62" s="15"/>
    </row>
    <row r="63" spans="1:8" ht="13.9" customHeight="1" x14ac:dyDescent="0.25">
      <c r="A63" s="16"/>
      <c r="B63" s="5" t="s">
        <v>111</v>
      </c>
      <c r="C63" s="6">
        <f>C61*11</f>
        <v>8800</v>
      </c>
      <c r="D63" s="6">
        <f t="shared" ref="D63:H63" si="19">D61*11</f>
        <v>1760</v>
      </c>
      <c r="E63" s="6">
        <f t="shared" si="19"/>
        <v>10560</v>
      </c>
      <c r="F63" s="6">
        <f t="shared" si="19"/>
        <v>0</v>
      </c>
      <c r="G63" s="6">
        <f t="shared" si="19"/>
        <v>0</v>
      </c>
      <c r="H63" s="6">
        <f t="shared" si="19"/>
        <v>8800</v>
      </c>
    </row>
    <row r="64" spans="1:8" ht="13.9" customHeight="1" x14ac:dyDescent="0.25">
      <c r="A64" s="16"/>
      <c r="B64" s="16"/>
      <c r="C64" s="14"/>
      <c r="D64" s="14"/>
      <c r="E64" s="14"/>
      <c r="F64" s="14"/>
      <c r="G64" s="14"/>
      <c r="H64" s="14"/>
    </row>
    <row r="65" spans="1:9" ht="13.9" customHeight="1" x14ac:dyDescent="0.25">
      <c r="A65" s="2"/>
      <c r="B65" s="276" t="s">
        <v>3</v>
      </c>
      <c r="C65" s="270" t="s">
        <v>0</v>
      </c>
      <c r="D65" s="270" t="s">
        <v>1</v>
      </c>
      <c r="E65" s="270" t="s">
        <v>2</v>
      </c>
      <c r="F65" s="268" t="s">
        <v>8</v>
      </c>
      <c r="G65" s="269"/>
      <c r="H65" s="269"/>
    </row>
    <row r="66" spans="1:9" ht="13.9" customHeight="1" x14ac:dyDescent="0.25">
      <c r="A66" s="2"/>
      <c r="B66" s="276"/>
      <c r="C66" s="270"/>
      <c r="D66" s="270"/>
      <c r="E66" s="270"/>
      <c r="F66" s="58" t="s">
        <v>7</v>
      </c>
      <c r="G66" s="59" t="s">
        <v>6</v>
      </c>
      <c r="H66" s="44" t="s">
        <v>82</v>
      </c>
    </row>
    <row r="67" spans="1:9" ht="57.75" customHeight="1" x14ac:dyDescent="0.25">
      <c r="A67" s="55" t="s">
        <v>85</v>
      </c>
      <c r="B67" s="17" t="s">
        <v>116</v>
      </c>
      <c r="C67" s="18">
        <f>SUM(F67:H67)</f>
        <v>1000</v>
      </c>
      <c r="D67" s="18">
        <f>C67*0.2</f>
        <v>200</v>
      </c>
      <c r="E67" s="18">
        <f>C67+D67</f>
        <v>1200</v>
      </c>
      <c r="F67" s="18">
        <v>0</v>
      </c>
      <c r="G67" s="18">
        <v>0</v>
      </c>
      <c r="H67" s="18">
        <v>1000</v>
      </c>
    </row>
    <row r="68" spans="1:9" ht="13.9" customHeight="1" x14ac:dyDescent="0.25">
      <c r="A68" s="2"/>
      <c r="B68" s="16"/>
      <c r="C68" s="14"/>
      <c r="D68" s="14"/>
      <c r="E68" s="14"/>
      <c r="F68" s="15"/>
      <c r="G68" s="15"/>
    </row>
    <row r="69" spans="1:9" ht="13.9" customHeight="1" x14ac:dyDescent="0.25">
      <c r="A69" s="9"/>
      <c r="B69" s="7" t="s">
        <v>5</v>
      </c>
      <c r="C69" s="8">
        <f>SUM(C67)</f>
        <v>1000</v>
      </c>
      <c r="D69" s="8">
        <f t="shared" ref="D69:H69" si="20">SUM(D67)</f>
        <v>200</v>
      </c>
      <c r="E69" s="8">
        <f t="shared" si="20"/>
        <v>1200</v>
      </c>
      <c r="F69" s="8">
        <f t="shared" si="20"/>
        <v>0</v>
      </c>
      <c r="G69" s="8">
        <f t="shared" si="20"/>
        <v>0</v>
      </c>
      <c r="H69" s="8">
        <f t="shared" si="20"/>
        <v>1000</v>
      </c>
    </row>
    <row r="70" spans="1:9" ht="13.9" customHeight="1" x14ac:dyDescent="0.25">
      <c r="A70" s="16"/>
      <c r="B70" s="16"/>
      <c r="C70" s="14"/>
      <c r="D70" s="14"/>
      <c r="E70" s="14"/>
      <c r="F70" s="15"/>
      <c r="G70" s="15"/>
    </row>
    <row r="71" spans="1:9" ht="13.9" customHeight="1" x14ac:dyDescent="0.25">
      <c r="A71" s="16"/>
      <c r="B71" s="5" t="s">
        <v>111</v>
      </c>
      <c r="C71" s="6">
        <f>C69*11</f>
        <v>11000</v>
      </c>
      <c r="D71" s="6">
        <f t="shared" ref="D71:H71" si="21">D69*11</f>
        <v>2200</v>
      </c>
      <c r="E71" s="6">
        <f t="shared" si="21"/>
        <v>13200</v>
      </c>
      <c r="F71" s="6">
        <f t="shared" si="21"/>
        <v>0</v>
      </c>
      <c r="G71" s="6">
        <f t="shared" si="21"/>
        <v>0</v>
      </c>
      <c r="H71" s="6">
        <f t="shared" si="21"/>
        <v>11000</v>
      </c>
    </row>
    <row r="72" spans="1:9" ht="13.9" customHeight="1" x14ac:dyDescent="0.25">
      <c r="A72" s="16"/>
      <c r="B72" s="16"/>
      <c r="C72" s="14"/>
      <c r="D72" s="14"/>
      <c r="E72" s="14"/>
      <c r="F72" s="14"/>
      <c r="G72" s="14"/>
      <c r="H72" s="14"/>
    </row>
    <row r="73" spans="1:9" ht="13.9" customHeight="1" x14ac:dyDescent="0.25">
      <c r="A73" s="16"/>
      <c r="B73" s="16"/>
      <c r="C73" s="14"/>
      <c r="D73" s="14"/>
      <c r="E73" s="14"/>
      <c r="F73" s="14"/>
      <c r="G73" s="14"/>
      <c r="H73" s="14"/>
    </row>
    <row r="74" spans="1:9" ht="17.100000000000001" customHeight="1" x14ac:dyDescent="0.25">
      <c r="A74" s="2"/>
      <c r="B74" s="272" t="s">
        <v>3</v>
      </c>
      <c r="C74" s="274" t="s">
        <v>0</v>
      </c>
      <c r="D74" s="274" t="s">
        <v>1</v>
      </c>
      <c r="E74" s="274" t="s">
        <v>2</v>
      </c>
      <c r="F74" s="268" t="s">
        <v>8</v>
      </c>
      <c r="G74" s="269"/>
      <c r="H74" s="269"/>
    </row>
    <row r="75" spans="1:9" ht="17.100000000000001" customHeight="1" x14ac:dyDescent="0.25">
      <c r="A75" s="2"/>
      <c r="B75" s="273"/>
      <c r="C75" s="275"/>
      <c r="D75" s="275"/>
      <c r="E75" s="275"/>
      <c r="F75" s="58" t="s">
        <v>7</v>
      </c>
      <c r="G75" s="59" t="s">
        <v>6</v>
      </c>
      <c r="H75" s="44" t="s">
        <v>82</v>
      </c>
    </row>
    <row r="76" spans="1:9" ht="36.6" customHeight="1" x14ac:dyDescent="0.25">
      <c r="A76" s="42" t="s">
        <v>13</v>
      </c>
      <c r="B76" s="20" t="s">
        <v>13</v>
      </c>
      <c r="C76" s="18">
        <f>SUM(F76:H76)</f>
        <v>5200</v>
      </c>
      <c r="D76" s="18">
        <f>C76*0.2</f>
        <v>1040</v>
      </c>
      <c r="E76" s="18">
        <f>SUM(C76:D76)</f>
        <v>6240</v>
      </c>
      <c r="F76" s="18">
        <v>1950</v>
      </c>
      <c r="G76" s="18">
        <v>1950</v>
      </c>
      <c r="H76" s="18">
        <v>1300</v>
      </c>
    </row>
    <row r="77" spans="1:9" ht="17.100000000000001" customHeight="1" x14ac:dyDescent="0.25">
      <c r="A77" s="2"/>
      <c r="B77" s="16"/>
      <c r="C77" s="14"/>
      <c r="D77" s="14"/>
      <c r="E77" s="14"/>
      <c r="F77" s="15"/>
      <c r="G77" s="15"/>
    </row>
    <row r="78" spans="1:9" ht="17.100000000000001" customHeight="1" x14ac:dyDescent="0.25">
      <c r="A78" s="2"/>
      <c r="B78" s="5" t="s">
        <v>4</v>
      </c>
      <c r="C78" s="6">
        <f>SUM(C76)</f>
        <v>5200</v>
      </c>
      <c r="D78" s="6">
        <f t="shared" ref="D78:H78" si="22">SUM(D76)</f>
        <v>1040</v>
      </c>
      <c r="E78" s="6">
        <f t="shared" si="22"/>
        <v>6240</v>
      </c>
      <c r="F78" s="6">
        <f t="shared" si="22"/>
        <v>1950</v>
      </c>
      <c r="G78" s="6">
        <f t="shared" si="22"/>
        <v>1950</v>
      </c>
      <c r="H78" s="6">
        <f t="shared" si="22"/>
        <v>1300</v>
      </c>
    </row>
    <row r="79" spans="1:9" s="11" customFormat="1" ht="16.899999999999999" customHeight="1" x14ac:dyDescent="0.25">
      <c r="A79" s="23"/>
      <c r="B79" s="9"/>
      <c r="C79" s="10"/>
      <c r="D79" s="10"/>
      <c r="E79" s="10"/>
      <c r="F79" s="10"/>
      <c r="G79" s="10"/>
    </row>
    <row r="80" spans="1:9" s="19" customFormat="1" ht="25.15" customHeight="1" x14ac:dyDescent="0.25">
      <c r="A80" s="24"/>
      <c r="B80" s="21" t="s">
        <v>12</v>
      </c>
      <c r="C80" s="22">
        <f>C20+C11+C29+C35+C47+C55+C63+C71+C78</f>
        <v>135225</v>
      </c>
      <c r="D80" s="22">
        <f t="shared" ref="D80:H80" si="23">D20+D11+D29+D35+D47+D55+D63+D71+D78</f>
        <v>27045</v>
      </c>
      <c r="E80" s="22">
        <f t="shared" si="23"/>
        <v>162270</v>
      </c>
      <c r="F80" s="22">
        <f t="shared" si="23"/>
        <v>52425</v>
      </c>
      <c r="G80" s="22">
        <f>G20+G11+G29+G35+G47+G55+G63+G71+G78</f>
        <v>53050</v>
      </c>
      <c r="H80" s="22">
        <f t="shared" si="23"/>
        <v>29750</v>
      </c>
      <c r="I80" s="14">
        <f>SUM(F80:H80)</f>
        <v>135225</v>
      </c>
    </row>
    <row r="81" spans="1:11" s="11" customFormat="1" ht="16.899999999999999" customHeight="1" x14ac:dyDescent="0.25">
      <c r="A81" s="23"/>
      <c r="B81" s="9"/>
      <c r="C81" s="10"/>
      <c r="D81" s="10"/>
      <c r="E81" s="10"/>
      <c r="F81" s="10"/>
      <c r="G81" s="10"/>
    </row>
    <row r="82" spans="1:11" s="11" customFormat="1" ht="16.899999999999999" customHeight="1" x14ac:dyDescent="0.25">
      <c r="A82" s="2"/>
      <c r="B82" s="272" t="s">
        <v>15</v>
      </c>
      <c r="C82" s="272" t="s">
        <v>0</v>
      </c>
      <c r="D82" s="272" t="s">
        <v>1</v>
      </c>
      <c r="E82" s="272" t="s">
        <v>2</v>
      </c>
      <c r="F82" s="268" t="s">
        <v>8</v>
      </c>
      <c r="G82" s="269"/>
      <c r="H82" s="269"/>
    </row>
    <row r="83" spans="1:11" s="11" customFormat="1" ht="16.899999999999999" customHeight="1" x14ac:dyDescent="0.25">
      <c r="A83" s="2"/>
      <c r="B83" s="273"/>
      <c r="C83" s="273"/>
      <c r="D83" s="273"/>
      <c r="E83" s="273"/>
      <c r="F83" s="58" t="s">
        <v>7</v>
      </c>
      <c r="G83" s="59" t="s">
        <v>6</v>
      </c>
      <c r="H83" s="44" t="s">
        <v>82</v>
      </c>
    </row>
    <row r="84" spans="1:11" s="11" customFormat="1" ht="47.25" customHeight="1" x14ac:dyDescent="0.25">
      <c r="A84" s="271" t="s">
        <v>51</v>
      </c>
      <c r="B84" s="17" t="s">
        <v>14</v>
      </c>
      <c r="C84" s="18">
        <f>SUM(F84:H84)</f>
        <v>1800</v>
      </c>
      <c r="D84" s="18">
        <f>C84*0.2</f>
        <v>360</v>
      </c>
      <c r="E84" s="18">
        <f>C84+D84</f>
        <v>2160</v>
      </c>
      <c r="F84" s="18">
        <v>600</v>
      </c>
      <c r="G84" s="18">
        <v>600</v>
      </c>
      <c r="H84" s="18">
        <v>600</v>
      </c>
    </row>
    <row r="85" spans="1:11" s="11" customFormat="1" ht="28.15" customHeight="1" x14ac:dyDescent="0.25">
      <c r="A85" s="271"/>
      <c r="B85" s="17" t="s">
        <v>10</v>
      </c>
      <c r="C85" s="18">
        <f>SUM(F85:H85)</f>
        <v>300</v>
      </c>
      <c r="D85" s="18">
        <f>C85*0.2</f>
        <v>60</v>
      </c>
      <c r="E85" s="18">
        <f>C85+D85</f>
        <v>360</v>
      </c>
      <c r="F85" s="18">
        <v>300</v>
      </c>
      <c r="G85" s="18">
        <v>0</v>
      </c>
      <c r="H85" s="18">
        <v>0</v>
      </c>
    </row>
    <row r="86" spans="1:11" s="11" customFormat="1" ht="16.899999999999999" customHeight="1" x14ac:dyDescent="0.25">
      <c r="A86" s="12"/>
      <c r="B86" s="1"/>
      <c r="C86" s="1"/>
      <c r="D86" s="1"/>
      <c r="E86" s="1"/>
      <c r="F86" s="15"/>
      <c r="G86" s="15"/>
    </row>
    <row r="87" spans="1:11" s="11" customFormat="1" ht="16.899999999999999" customHeight="1" x14ac:dyDescent="0.25">
      <c r="A87" s="1"/>
      <c r="B87" s="7" t="s">
        <v>71</v>
      </c>
      <c r="C87" s="8">
        <f>SUM(C84:C85)</f>
        <v>2100</v>
      </c>
      <c r="D87" s="8">
        <f t="shared" ref="D87:H87" si="24">SUM(D84:D85)</f>
        <v>420</v>
      </c>
      <c r="E87" s="8">
        <f t="shared" si="24"/>
        <v>2520</v>
      </c>
      <c r="F87" s="8">
        <f t="shared" si="24"/>
        <v>900</v>
      </c>
      <c r="G87" s="8">
        <f t="shared" si="24"/>
        <v>600</v>
      </c>
      <c r="H87" s="8">
        <f t="shared" si="24"/>
        <v>600</v>
      </c>
    </row>
    <row r="88" spans="1:11" s="11" customFormat="1" ht="17.100000000000001" customHeight="1" x14ac:dyDescent="0.25">
      <c r="A88" s="1"/>
      <c r="B88" s="1"/>
      <c r="C88" s="1"/>
      <c r="D88" s="1"/>
      <c r="E88" s="1"/>
      <c r="F88" s="15"/>
      <c r="G88" s="15"/>
      <c r="H88" s="1"/>
      <c r="I88" s="1"/>
      <c r="J88" s="1"/>
      <c r="K88" s="1"/>
    </row>
    <row r="89" spans="1:11" ht="9.75" customHeight="1" x14ac:dyDescent="0.25"/>
    <row r="90" spans="1:11" ht="15" customHeight="1" x14ac:dyDescent="0.25"/>
    <row r="91" spans="1:11" ht="22.9" customHeight="1" x14ac:dyDescent="0.25"/>
    <row r="92" spans="1:11" ht="22.5" customHeight="1" x14ac:dyDescent="0.25"/>
    <row r="93" spans="1:11" ht="27" customHeight="1" x14ac:dyDescent="0.25"/>
    <row r="94" spans="1:11" x14ac:dyDescent="0.25">
      <c r="F94" s="1"/>
      <c r="G94" s="1"/>
    </row>
    <row r="95" spans="1:11" x14ac:dyDescent="0.25">
      <c r="F95" s="1"/>
      <c r="G95" s="1"/>
    </row>
    <row r="96" spans="1:11" x14ac:dyDescent="0.25">
      <c r="F96" s="1"/>
      <c r="G96" s="1"/>
    </row>
  </sheetData>
  <mergeCells count="54">
    <mergeCell ref="F82:H82"/>
    <mergeCell ref="F37:H37"/>
    <mergeCell ref="B74:B75"/>
    <mergeCell ref="C82:C83"/>
    <mergeCell ref="B82:B83"/>
    <mergeCell ref="E82:E83"/>
    <mergeCell ref="D82:D83"/>
    <mergeCell ref="C74:C75"/>
    <mergeCell ref="D74:D75"/>
    <mergeCell ref="E74:E75"/>
    <mergeCell ref="F74:H74"/>
    <mergeCell ref="D49:D50"/>
    <mergeCell ref="E49:E50"/>
    <mergeCell ref="F49:H49"/>
    <mergeCell ref="D57:D58"/>
    <mergeCell ref="E57:E58"/>
    <mergeCell ref="E3:E4"/>
    <mergeCell ref="F3:H3"/>
    <mergeCell ref="E37:E38"/>
    <mergeCell ref="D31:D32"/>
    <mergeCell ref="E31:E32"/>
    <mergeCell ref="F31:H31"/>
    <mergeCell ref="F23:H23"/>
    <mergeCell ref="D23:D24"/>
    <mergeCell ref="E23:E24"/>
    <mergeCell ref="D13:D14"/>
    <mergeCell ref="E13:E14"/>
    <mergeCell ref="F13:H13"/>
    <mergeCell ref="B3:B4"/>
    <mergeCell ref="C3:C4"/>
    <mergeCell ref="B13:B14"/>
    <mergeCell ref="C13:C14"/>
    <mergeCell ref="D37:D38"/>
    <mergeCell ref="D3:D4"/>
    <mergeCell ref="A5:A7"/>
    <mergeCell ref="A84:A85"/>
    <mergeCell ref="B31:B32"/>
    <mergeCell ref="C31:C32"/>
    <mergeCell ref="B37:B38"/>
    <mergeCell ref="C37:C38"/>
    <mergeCell ref="B49:B50"/>
    <mergeCell ref="C49:C50"/>
    <mergeCell ref="B57:B58"/>
    <mergeCell ref="C57:C58"/>
    <mergeCell ref="A39:A43"/>
    <mergeCell ref="B23:B24"/>
    <mergeCell ref="C23:C24"/>
    <mergeCell ref="B65:B66"/>
    <mergeCell ref="A15:A16"/>
    <mergeCell ref="F57:H57"/>
    <mergeCell ref="C65:C66"/>
    <mergeCell ref="D65:D66"/>
    <mergeCell ref="E65:E66"/>
    <mergeCell ref="F65:H65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68CB-EC23-4C7E-8552-1369129698C2}">
  <dimension ref="A1:AL78"/>
  <sheetViews>
    <sheetView topLeftCell="A29" zoomScaleNormal="100" workbookViewId="0">
      <selection activeCell="I58" sqref="I58"/>
    </sheetView>
  </sheetViews>
  <sheetFormatPr baseColWidth="10" defaultRowHeight="15" x14ac:dyDescent="0.25"/>
  <cols>
    <col min="1" max="1" width="47.7109375" customWidth="1"/>
    <col min="2" max="2" width="24" customWidth="1"/>
    <col min="3" max="3" width="38.7109375" customWidth="1"/>
    <col min="4" max="4" width="11.28515625" customWidth="1"/>
    <col min="5" max="5" width="11.28515625" style="137" customWidth="1"/>
    <col min="6" max="9" width="11.28515625" style="25" customWidth="1"/>
    <col min="10" max="10" width="11.28515625" style="138" customWidth="1"/>
    <col min="11" max="35" width="11.28515625" style="25" customWidth="1"/>
    <col min="36" max="36" width="11.85546875" bestFit="1" customWidth="1"/>
    <col min="38" max="38" width="11.85546875" bestFit="1" customWidth="1"/>
  </cols>
  <sheetData>
    <row r="1" spans="1:35" ht="16.5" x14ac:dyDescent="0.25">
      <c r="E1" s="106" t="s">
        <v>105</v>
      </c>
      <c r="F1" s="107" t="s">
        <v>106</v>
      </c>
      <c r="G1" s="107" t="s">
        <v>17</v>
      </c>
      <c r="H1" s="107" t="s">
        <v>18</v>
      </c>
      <c r="I1" s="107" t="s">
        <v>19</v>
      </c>
      <c r="J1" s="108" t="s">
        <v>20</v>
      </c>
      <c r="K1" s="93" t="s">
        <v>21</v>
      </c>
      <c r="L1" s="43" t="s">
        <v>22</v>
      </c>
      <c r="M1" s="43" t="s">
        <v>23</v>
      </c>
      <c r="N1" s="43" t="s">
        <v>24</v>
      </c>
      <c r="O1" s="43" t="s">
        <v>25</v>
      </c>
      <c r="P1" s="43" t="s">
        <v>26</v>
      </c>
      <c r="Q1" s="43" t="s">
        <v>27</v>
      </c>
      <c r="R1" s="43" t="s">
        <v>28</v>
      </c>
      <c r="S1" s="43" t="s">
        <v>29</v>
      </c>
      <c r="T1" s="43" t="s">
        <v>30</v>
      </c>
      <c r="U1" s="43" t="s">
        <v>31</v>
      </c>
      <c r="V1" s="43" t="s">
        <v>32</v>
      </c>
      <c r="W1" s="43" t="s">
        <v>33</v>
      </c>
      <c r="X1" s="43" t="s">
        <v>34</v>
      </c>
      <c r="Y1" s="43" t="s">
        <v>35</v>
      </c>
      <c r="Z1" s="43" t="s">
        <v>36</v>
      </c>
      <c r="AA1" s="43" t="s">
        <v>37</v>
      </c>
      <c r="AB1" s="43" t="s">
        <v>38</v>
      </c>
      <c r="AC1" s="43" t="s">
        <v>39</v>
      </c>
      <c r="AD1" s="43" t="s">
        <v>40</v>
      </c>
      <c r="AE1" s="43" t="s">
        <v>41</v>
      </c>
      <c r="AF1" s="43" t="s">
        <v>42</v>
      </c>
      <c r="AG1" s="43" t="s">
        <v>43</v>
      </c>
      <c r="AH1" s="43" t="s">
        <v>44</v>
      </c>
      <c r="AI1" s="43" t="s">
        <v>45</v>
      </c>
    </row>
    <row r="2" spans="1:35" ht="18" customHeight="1" x14ac:dyDescent="0.25">
      <c r="B2" s="319" t="s">
        <v>58</v>
      </c>
      <c r="C2" s="319"/>
      <c r="D2" s="85" t="s">
        <v>60</v>
      </c>
      <c r="E2" s="109">
        <v>2023</v>
      </c>
      <c r="F2" s="38">
        <v>2024</v>
      </c>
      <c r="G2" s="38">
        <v>2025</v>
      </c>
      <c r="H2" s="38">
        <v>2026</v>
      </c>
      <c r="I2" s="38">
        <v>2027</v>
      </c>
      <c r="J2" s="110">
        <v>2028</v>
      </c>
      <c r="K2" s="94">
        <v>2029</v>
      </c>
      <c r="L2" s="38">
        <v>2030</v>
      </c>
      <c r="M2" s="38">
        <v>2031</v>
      </c>
      <c r="N2" s="38">
        <v>2032</v>
      </c>
      <c r="O2" s="38">
        <v>2033</v>
      </c>
      <c r="P2" s="38">
        <v>2034</v>
      </c>
      <c r="Q2" s="38">
        <v>2035</v>
      </c>
      <c r="R2" s="38">
        <v>2036</v>
      </c>
      <c r="S2" s="38">
        <v>2037</v>
      </c>
      <c r="T2" s="38">
        <v>2038</v>
      </c>
      <c r="U2" s="38">
        <v>2039</v>
      </c>
      <c r="V2" s="38">
        <v>2040</v>
      </c>
      <c r="W2" s="38">
        <v>2041</v>
      </c>
      <c r="X2" s="38">
        <v>2042</v>
      </c>
      <c r="Y2" s="38">
        <v>2043</v>
      </c>
      <c r="Z2" s="38">
        <v>2044</v>
      </c>
      <c r="AA2" s="38">
        <v>2045</v>
      </c>
      <c r="AB2" s="38">
        <v>2046</v>
      </c>
      <c r="AC2" s="38">
        <v>2047</v>
      </c>
      <c r="AD2" s="38">
        <v>2048</v>
      </c>
      <c r="AE2" s="38">
        <v>2049</v>
      </c>
      <c r="AF2" s="38">
        <v>2050</v>
      </c>
      <c r="AG2" s="38">
        <v>2051</v>
      </c>
      <c r="AH2" s="38">
        <v>2052</v>
      </c>
      <c r="AI2" s="38">
        <v>2053</v>
      </c>
    </row>
    <row r="3" spans="1:35" x14ac:dyDescent="0.25">
      <c r="B3" s="326" t="s">
        <v>11</v>
      </c>
      <c r="C3" s="27" t="s">
        <v>48</v>
      </c>
      <c r="D3" s="328" t="s">
        <v>62</v>
      </c>
      <c r="E3" s="111" t="s">
        <v>46</v>
      </c>
      <c r="F3" s="33" t="s">
        <v>46</v>
      </c>
      <c r="G3" s="33" t="s">
        <v>46</v>
      </c>
      <c r="H3" s="33" t="s">
        <v>46</v>
      </c>
      <c r="I3" s="33" t="s">
        <v>46</v>
      </c>
      <c r="J3" s="112" t="s">
        <v>46</v>
      </c>
      <c r="K3" s="95" t="s">
        <v>46</v>
      </c>
      <c r="L3" s="33" t="s">
        <v>46</v>
      </c>
      <c r="M3" s="33" t="s">
        <v>46</v>
      </c>
      <c r="N3" s="33" t="s">
        <v>46</v>
      </c>
      <c r="O3" s="33" t="s">
        <v>46</v>
      </c>
      <c r="P3" s="33" t="s">
        <v>46</v>
      </c>
      <c r="Q3" s="33" t="s">
        <v>46</v>
      </c>
      <c r="R3" s="33" t="s">
        <v>46</v>
      </c>
      <c r="S3" s="33" t="s">
        <v>46</v>
      </c>
      <c r="T3" s="33" t="s">
        <v>46</v>
      </c>
      <c r="U3" s="33" t="s">
        <v>46</v>
      </c>
      <c r="V3" s="33" t="s">
        <v>46</v>
      </c>
      <c r="W3" s="33" t="s">
        <v>46</v>
      </c>
      <c r="X3" s="33" t="s">
        <v>46</v>
      </c>
      <c r="Y3" s="33" t="s">
        <v>46</v>
      </c>
      <c r="Z3" s="33" t="s">
        <v>46</v>
      </c>
      <c r="AA3" s="33" t="s">
        <v>46</v>
      </c>
      <c r="AB3" s="33" t="s">
        <v>46</v>
      </c>
      <c r="AC3" s="33" t="s">
        <v>46</v>
      </c>
      <c r="AD3" s="33" t="s">
        <v>46</v>
      </c>
      <c r="AE3" s="33" t="s">
        <v>46</v>
      </c>
      <c r="AF3" s="33" t="s">
        <v>46</v>
      </c>
      <c r="AG3" s="33" t="s">
        <v>46</v>
      </c>
      <c r="AH3" s="33" t="s">
        <v>46</v>
      </c>
      <c r="AI3" s="52" t="s">
        <v>46</v>
      </c>
    </row>
    <row r="4" spans="1:35" ht="19.5" customHeight="1" x14ac:dyDescent="0.25">
      <c r="B4" s="326"/>
      <c r="C4" s="27" t="s">
        <v>74</v>
      </c>
      <c r="D4" s="328"/>
      <c r="E4" s="113" t="s">
        <v>46</v>
      </c>
      <c r="F4" s="31" t="s">
        <v>46</v>
      </c>
      <c r="G4" s="31" t="s">
        <v>46</v>
      </c>
      <c r="H4" s="31" t="s">
        <v>46</v>
      </c>
      <c r="I4" s="31" t="s">
        <v>46</v>
      </c>
      <c r="J4" s="114" t="s">
        <v>46</v>
      </c>
      <c r="K4" s="84" t="s">
        <v>46</v>
      </c>
      <c r="L4" s="31" t="s">
        <v>46</v>
      </c>
      <c r="M4" s="31" t="s">
        <v>46</v>
      </c>
      <c r="N4" s="31" t="s">
        <v>46</v>
      </c>
      <c r="O4" s="31" t="s">
        <v>46</v>
      </c>
      <c r="P4" s="31" t="s">
        <v>46</v>
      </c>
      <c r="Q4" s="31" t="s">
        <v>46</v>
      </c>
      <c r="R4" s="31" t="s">
        <v>46</v>
      </c>
      <c r="S4" s="31" t="s">
        <v>46</v>
      </c>
      <c r="T4" s="31" t="s">
        <v>46</v>
      </c>
      <c r="U4" s="31" t="s">
        <v>46</v>
      </c>
      <c r="V4" s="31" t="s">
        <v>46</v>
      </c>
      <c r="W4" s="31" t="s">
        <v>46</v>
      </c>
      <c r="X4" s="31" t="s">
        <v>46</v>
      </c>
      <c r="Y4" s="31" t="s">
        <v>46</v>
      </c>
      <c r="Z4" s="31" t="s">
        <v>46</v>
      </c>
      <c r="AA4" s="31" t="s">
        <v>46</v>
      </c>
      <c r="AB4" s="31" t="s">
        <v>46</v>
      </c>
      <c r="AC4" s="31" t="s">
        <v>46</v>
      </c>
      <c r="AD4" s="31" t="s">
        <v>46</v>
      </c>
      <c r="AE4" s="31" t="s">
        <v>46</v>
      </c>
      <c r="AF4" s="31" t="s">
        <v>46</v>
      </c>
      <c r="AG4" s="31" t="s">
        <v>46</v>
      </c>
      <c r="AH4" s="31" t="s">
        <v>46</v>
      </c>
      <c r="AI4" s="53" t="s">
        <v>46</v>
      </c>
    </row>
    <row r="5" spans="1:35" ht="19.5" customHeight="1" thickBot="1" x14ac:dyDescent="0.3">
      <c r="B5" s="327"/>
      <c r="C5" s="27" t="s">
        <v>108</v>
      </c>
      <c r="D5" s="328"/>
      <c r="E5" s="115" t="s">
        <v>46</v>
      </c>
      <c r="F5" s="32" t="s">
        <v>46</v>
      </c>
      <c r="G5" s="32" t="s">
        <v>46</v>
      </c>
      <c r="H5" s="32" t="s">
        <v>46</v>
      </c>
      <c r="I5" s="32" t="s">
        <v>46</v>
      </c>
      <c r="J5" s="116" t="s">
        <v>46</v>
      </c>
      <c r="K5" s="96" t="s">
        <v>46</v>
      </c>
      <c r="L5" s="32" t="s">
        <v>46</v>
      </c>
      <c r="M5" s="32" t="s">
        <v>46</v>
      </c>
      <c r="N5" s="32" t="s">
        <v>46</v>
      </c>
      <c r="O5" s="32" t="s">
        <v>46</v>
      </c>
      <c r="P5" s="32" t="s">
        <v>46</v>
      </c>
      <c r="Q5" s="32" t="s">
        <v>46</v>
      </c>
      <c r="R5" s="32" t="s">
        <v>46</v>
      </c>
      <c r="S5" s="32" t="s">
        <v>46</v>
      </c>
      <c r="T5" s="32" t="s">
        <v>46</v>
      </c>
      <c r="U5" s="32" t="s">
        <v>46</v>
      </c>
      <c r="V5" s="32" t="s">
        <v>46</v>
      </c>
      <c r="W5" s="32" t="s">
        <v>46</v>
      </c>
      <c r="X5" s="32" t="s">
        <v>46</v>
      </c>
      <c r="Y5" s="32" t="s">
        <v>46</v>
      </c>
      <c r="Z5" s="32" t="s">
        <v>46</v>
      </c>
      <c r="AA5" s="32" t="s">
        <v>46</v>
      </c>
      <c r="AB5" s="32" t="s">
        <v>46</v>
      </c>
      <c r="AC5" s="32" t="s">
        <v>46</v>
      </c>
      <c r="AD5" s="32" t="s">
        <v>46</v>
      </c>
      <c r="AE5" s="32" t="s">
        <v>46</v>
      </c>
      <c r="AF5" s="32" t="s">
        <v>46</v>
      </c>
      <c r="AG5" s="32" t="s">
        <v>46</v>
      </c>
      <c r="AH5" s="32" t="s">
        <v>46</v>
      </c>
      <c r="AI5" s="54" t="s">
        <v>46</v>
      </c>
    </row>
    <row r="6" spans="1:35" s="26" customFormat="1" ht="29.25" customHeight="1" thickBot="1" x14ac:dyDescent="0.3">
      <c r="A6"/>
      <c r="B6" s="30" t="s">
        <v>53</v>
      </c>
      <c r="C6" s="29" t="s">
        <v>54</v>
      </c>
      <c r="D6" s="87" t="s">
        <v>63</v>
      </c>
      <c r="E6" s="117" t="s">
        <v>46</v>
      </c>
      <c r="F6" s="34"/>
      <c r="G6" s="34"/>
      <c r="H6" s="34"/>
      <c r="I6" s="34"/>
      <c r="J6" s="118" t="s">
        <v>46</v>
      </c>
      <c r="K6" s="97"/>
      <c r="L6" s="34"/>
      <c r="M6" s="34"/>
      <c r="N6" s="34"/>
      <c r="O6" s="34" t="s">
        <v>46</v>
      </c>
      <c r="P6" s="34"/>
      <c r="Q6" s="34"/>
      <c r="R6" s="34"/>
      <c r="S6" s="34"/>
      <c r="T6" s="34" t="s">
        <v>46</v>
      </c>
      <c r="U6" s="34"/>
      <c r="V6" s="34"/>
      <c r="W6" s="34"/>
      <c r="X6" s="34"/>
      <c r="Y6" s="34" t="s">
        <v>46</v>
      </c>
      <c r="Z6" s="34"/>
      <c r="AA6" s="34"/>
      <c r="AB6" s="34"/>
      <c r="AC6" s="34"/>
      <c r="AD6" s="34" t="s">
        <v>46</v>
      </c>
      <c r="AE6" s="34"/>
      <c r="AF6" s="34"/>
      <c r="AG6" s="34"/>
      <c r="AH6" s="34"/>
      <c r="AI6" s="49"/>
    </row>
    <row r="7" spans="1:35" ht="25.5" customHeight="1" thickBot="1" x14ac:dyDescent="0.3">
      <c r="B7" s="57" t="s">
        <v>55</v>
      </c>
      <c r="C7" s="27" t="s">
        <v>61</v>
      </c>
      <c r="D7" s="47" t="s">
        <v>62</v>
      </c>
      <c r="E7" s="119" t="s">
        <v>79</v>
      </c>
      <c r="F7" s="67" t="s">
        <v>56</v>
      </c>
      <c r="I7" s="67" t="s">
        <v>56</v>
      </c>
      <c r="J7" s="140"/>
      <c r="K7" s="98"/>
      <c r="L7" s="67" t="s">
        <v>56</v>
      </c>
      <c r="M7" s="68"/>
      <c r="N7" s="67"/>
      <c r="O7" s="67" t="s">
        <v>56</v>
      </c>
      <c r="P7" s="68"/>
      <c r="Q7" s="67"/>
      <c r="R7" s="67" t="s">
        <v>56</v>
      </c>
      <c r="S7" s="68"/>
      <c r="T7" s="67"/>
      <c r="U7" s="67" t="s">
        <v>56</v>
      </c>
      <c r="V7" s="68"/>
      <c r="W7" s="67"/>
      <c r="X7" s="67" t="s">
        <v>56</v>
      </c>
      <c r="Y7" s="68"/>
      <c r="Z7" s="67"/>
      <c r="AA7" s="67" t="s">
        <v>56</v>
      </c>
      <c r="AB7" s="68"/>
      <c r="AC7" s="67"/>
      <c r="AD7" s="67" t="s">
        <v>56</v>
      </c>
      <c r="AE7" s="68"/>
      <c r="AF7" s="67"/>
      <c r="AG7" s="67" t="s">
        <v>56</v>
      </c>
      <c r="AH7" s="69"/>
      <c r="AI7" s="67"/>
    </row>
    <row r="8" spans="1:35" s="64" customFormat="1" ht="15" customHeight="1" x14ac:dyDescent="0.25">
      <c r="A8" s="70"/>
      <c r="B8" s="320" t="s">
        <v>57</v>
      </c>
      <c r="C8" s="56" t="s">
        <v>50</v>
      </c>
      <c r="D8" s="323" t="s">
        <v>90</v>
      </c>
      <c r="E8" s="120" t="s">
        <v>46</v>
      </c>
      <c r="F8" s="35" t="s">
        <v>46</v>
      </c>
      <c r="G8" s="35" t="s">
        <v>46</v>
      </c>
      <c r="H8" s="35" t="s">
        <v>46</v>
      </c>
      <c r="I8" s="35" t="s">
        <v>46</v>
      </c>
      <c r="J8" s="121" t="s">
        <v>46</v>
      </c>
      <c r="K8" s="99"/>
      <c r="L8" s="35"/>
      <c r="M8" s="35"/>
      <c r="N8" s="36"/>
      <c r="O8" s="35" t="s">
        <v>46</v>
      </c>
      <c r="P8" s="35"/>
      <c r="Q8" s="35"/>
      <c r="R8" s="36"/>
      <c r="S8" s="36"/>
      <c r="T8" s="35" t="s">
        <v>46</v>
      </c>
      <c r="U8" s="35"/>
      <c r="V8" s="35"/>
      <c r="W8" s="36"/>
      <c r="X8" s="36"/>
      <c r="Y8" s="35" t="s">
        <v>46</v>
      </c>
      <c r="Z8" s="35"/>
      <c r="AA8" s="35"/>
      <c r="AB8" s="36"/>
      <c r="AC8" s="36"/>
      <c r="AD8" s="35" t="s">
        <v>46</v>
      </c>
      <c r="AE8" s="35"/>
      <c r="AF8" s="35"/>
      <c r="AG8" s="36"/>
      <c r="AH8" s="36"/>
      <c r="AI8" s="50" t="s">
        <v>46</v>
      </c>
    </row>
    <row r="9" spans="1:35" ht="15" customHeight="1" x14ac:dyDescent="0.25">
      <c r="A9" s="70"/>
      <c r="B9" s="321"/>
      <c r="C9" s="40" t="s">
        <v>80</v>
      </c>
      <c r="D9" s="324"/>
      <c r="E9" s="122" t="s">
        <v>46</v>
      </c>
      <c r="F9" s="41" t="s">
        <v>46</v>
      </c>
      <c r="G9" s="41" t="s">
        <v>46</v>
      </c>
      <c r="H9" s="41" t="s">
        <v>46</v>
      </c>
      <c r="I9" s="41" t="s">
        <v>46</v>
      </c>
      <c r="J9" s="123" t="s">
        <v>46</v>
      </c>
      <c r="K9" s="100"/>
      <c r="L9" s="41"/>
      <c r="M9" s="41"/>
      <c r="N9" s="39"/>
      <c r="O9" s="41" t="s">
        <v>46</v>
      </c>
      <c r="P9" s="41"/>
      <c r="Q9" s="41"/>
      <c r="R9" s="39"/>
      <c r="S9" s="39"/>
      <c r="T9" s="41" t="s">
        <v>46</v>
      </c>
      <c r="U9" s="41"/>
      <c r="V9" s="41"/>
      <c r="W9" s="39"/>
      <c r="X9" s="39"/>
      <c r="Y9" s="41" t="s">
        <v>46</v>
      </c>
      <c r="Z9" s="41"/>
      <c r="AA9" s="41"/>
      <c r="AB9" s="39"/>
      <c r="AC9" s="39"/>
      <c r="AD9" s="41" t="s">
        <v>46</v>
      </c>
      <c r="AE9" s="41"/>
      <c r="AF9" s="41"/>
      <c r="AG9" s="39"/>
      <c r="AH9" s="39"/>
      <c r="AI9" s="66" t="s">
        <v>46</v>
      </c>
    </row>
    <row r="10" spans="1:35" ht="21" customHeight="1" x14ac:dyDescent="0.25">
      <c r="A10" s="70"/>
      <c r="B10" s="321"/>
      <c r="C10" s="40" t="s">
        <v>81</v>
      </c>
      <c r="D10" s="324"/>
      <c r="E10" s="122" t="s">
        <v>46</v>
      </c>
      <c r="F10" s="41" t="s">
        <v>46</v>
      </c>
      <c r="G10" s="41" t="s">
        <v>46</v>
      </c>
      <c r="H10" s="41" t="s">
        <v>46</v>
      </c>
      <c r="I10" s="41" t="s">
        <v>46</v>
      </c>
      <c r="J10" s="123" t="s">
        <v>46</v>
      </c>
      <c r="K10" s="100" t="s">
        <v>75</v>
      </c>
      <c r="L10" s="41"/>
      <c r="M10" s="41"/>
      <c r="N10" s="39"/>
      <c r="O10" s="41" t="s">
        <v>46</v>
      </c>
      <c r="P10" s="41"/>
      <c r="Q10" s="41"/>
      <c r="R10" s="39"/>
      <c r="S10" s="39"/>
      <c r="T10" s="41" t="s">
        <v>46</v>
      </c>
      <c r="U10" s="41"/>
      <c r="V10" s="41"/>
      <c r="W10" s="39"/>
      <c r="X10" s="39"/>
      <c r="Y10" s="41" t="s">
        <v>46</v>
      </c>
      <c r="Z10" s="41"/>
      <c r="AA10" s="41"/>
      <c r="AB10" s="39"/>
      <c r="AC10" s="39"/>
      <c r="AD10" s="41" t="s">
        <v>46</v>
      </c>
      <c r="AE10" s="41"/>
      <c r="AF10" s="41"/>
      <c r="AG10" s="39"/>
      <c r="AH10" s="39"/>
      <c r="AI10" s="51" t="s">
        <v>46</v>
      </c>
    </row>
    <row r="11" spans="1:35" ht="19.5" customHeight="1" x14ac:dyDescent="0.25">
      <c r="A11" s="70"/>
      <c r="B11" s="321"/>
      <c r="C11" s="40" t="s">
        <v>47</v>
      </c>
      <c r="D11" s="324"/>
      <c r="E11" s="122" t="s">
        <v>46</v>
      </c>
      <c r="F11" s="41" t="s">
        <v>46</v>
      </c>
      <c r="G11" s="41" t="s">
        <v>46</v>
      </c>
      <c r="H11" s="41" t="s">
        <v>46</v>
      </c>
      <c r="I11" s="41" t="s">
        <v>46</v>
      </c>
      <c r="J11" s="123" t="s">
        <v>46</v>
      </c>
      <c r="K11" s="100"/>
      <c r="L11" s="41"/>
      <c r="M11" s="41"/>
      <c r="N11" s="39"/>
      <c r="O11" s="41" t="s">
        <v>46</v>
      </c>
      <c r="P11" s="41"/>
      <c r="Q11" s="41"/>
      <c r="R11" s="39"/>
      <c r="S11" s="39"/>
      <c r="T11" s="41" t="s">
        <v>46</v>
      </c>
      <c r="U11" s="41"/>
      <c r="V11" s="41"/>
      <c r="W11" s="39"/>
      <c r="X11" s="39"/>
      <c r="Y11" s="41" t="s">
        <v>46</v>
      </c>
      <c r="Z11" s="41"/>
      <c r="AA11" s="41"/>
      <c r="AB11" s="39"/>
      <c r="AC11" s="39"/>
      <c r="AD11" s="41" t="s">
        <v>46</v>
      </c>
      <c r="AE11" s="41"/>
      <c r="AF11" s="41"/>
      <c r="AG11" s="39"/>
      <c r="AH11" s="39"/>
      <c r="AI11" s="51" t="s">
        <v>46</v>
      </c>
    </row>
    <row r="12" spans="1:35" s="65" customFormat="1" ht="21" customHeight="1" thickBot="1" x14ac:dyDescent="0.3">
      <c r="A12" s="70"/>
      <c r="B12" s="322"/>
      <c r="C12" s="46" t="s">
        <v>9</v>
      </c>
      <c r="D12" s="325"/>
      <c r="E12" s="124" t="s">
        <v>46</v>
      </c>
      <c r="F12" s="61" t="s">
        <v>46</v>
      </c>
      <c r="G12" s="61" t="s">
        <v>46</v>
      </c>
      <c r="H12" s="61" t="s">
        <v>46</v>
      </c>
      <c r="I12" s="61" t="s">
        <v>46</v>
      </c>
      <c r="J12" s="125" t="s">
        <v>46</v>
      </c>
      <c r="K12" s="101"/>
      <c r="L12" s="61"/>
      <c r="M12" s="61"/>
      <c r="N12" s="37"/>
      <c r="O12" s="61" t="s">
        <v>46</v>
      </c>
      <c r="P12" s="61"/>
      <c r="Q12" s="61"/>
      <c r="R12" s="37"/>
      <c r="S12" s="37"/>
      <c r="T12" s="61" t="s">
        <v>46</v>
      </c>
      <c r="U12" s="61"/>
      <c r="V12" s="61"/>
      <c r="W12" s="37"/>
      <c r="X12" s="37"/>
      <c r="Y12" s="61" t="s">
        <v>46</v>
      </c>
      <c r="Z12" s="61"/>
      <c r="AA12" s="61"/>
      <c r="AB12" s="37"/>
      <c r="AC12" s="37"/>
      <c r="AD12" s="61" t="s">
        <v>46</v>
      </c>
      <c r="AE12" s="61"/>
      <c r="AF12" s="61"/>
      <c r="AG12" s="37"/>
      <c r="AH12" s="37"/>
      <c r="AI12" s="62" t="s">
        <v>46</v>
      </c>
    </row>
    <row r="13" spans="1:35" ht="21" customHeight="1" x14ac:dyDescent="0.25">
      <c r="B13" s="329" t="s">
        <v>89</v>
      </c>
      <c r="C13" s="74" t="s">
        <v>103</v>
      </c>
      <c r="D13" s="88" t="s">
        <v>77</v>
      </c>
      <c r="E13" s="126" t="s">
        <v>104</v>
      </c>
      <c r="F13" s="28" t="s">
        <v>104</v>
      </c>
      <c r="G13" s="28" t="s">
        <v>104</v>
      </c>
      <c r="H13" s="28" t="s">
        <v>104</v>
      </c>
      <c r="I13" s="28" t="s">
        <v>104</v>
      </c>
      <c r="J13" s="127" t="s">
        <v>104</v>
      </c>
      <c r="K13" s="102"/>
      <c r="L13" s="28"/>
      <c r="M13" s="28"/>
      <c r="N13" s="28"/>
      <c r="O13" s="28" t="s">
        <v>104</v>
      </c>
      <c r="P13" s="28"/>
      <c r="Q13" s="28"/>
      <c r="R13" s="28"/>
      <c r="S13" s="28"/>
      <c r="T13" s="28" t="s">
        <v>104</v>
      </c>
      <c r="U13" s="28"/>
      <c r="V13" s="28"/>
      <c r="W13" s="28"/>
      <c r="X13" s="28"/>
      <c r="Y13" s="28" t="s">
        <v>104</v>
      </c>
      <c r="Z13" s="28"/>
      <c r="AA13" s="28"/>
      <c r="AB13" s="28"/>
      <c r="AC13" s="28"/>
      <c r="AD13" s="28" t="s">
        <v>104</v>
      </c>
      <c r="AE13" s="28"/>
      <c r="AF13" s="28"/>
      <c r="AG13" s="28"/>
      <c r="AH13" s="28"/>
      <c r="AI13" s="28" t="s">
        <v>104</v>
      </c>
    </row>
    <row r="14" spans="1:35" ht="15.75" customHeight="1" x14ac:dyDescent="0.25">
      <c r="B14" s="326"/>
      <c r="C14" s="27" t="s">
        <v>72</v>
      </c>
      <c r="D14" s="86" t="s">
        <v>64</v>
      </c>
      <c r="E14" s="128" t="s">
        <v>46</v>
      </c>
      <c r="F14" s="71" t="s">
        <v>46</v>
      </c>
      <c r="G14" s="71" t="s">
        <v>46</v>
      </c>
      <c r="H14" s="71" t="s">
        <v>46</v>
      </c>
      <c r="I14" s="71" t="s">
        <v>46</v>
      </c>
      <c r="J14" s="129" t="s">
        <v>46</v>
      </c>
      <c r="K14" s="103"/>
      <c r="L14" s="71"/>
      <c r="M14" s="71"/>
      <c r="N14" s="71"/>
      <c r="O14" s="71" t="s">
        <v>46</v>
      </c>
      <c r="P14" s="71"/>
      <c r="Q14" s="71"/>
      <c r="R14" s="71"/>
      <c r="S14" s="71"/>
      <c r="T14" s="71" t="s">
        <v>46</v>
      </c>
      <c r="U14" s="71"/>
      <c r="V14" s="71"/>
      <c r="W14" s="71"/>
      <c r="X14" s="71"/>
      <c r="Y14" s="71" t="s">
        <v>46</v>
      </c>
      <c r="Z14" s="71"/>
      <c r="AA14" s="71"/>
      <c r="AB14" s="71"/>
      <c r="AC14" s="71"/>
      <c r="AD14" s="71" t="s">
        <v>46</v>
      </c>
      <c r="AE14" s="71"/>
      <c r="AF14" s="71"/>
      <c r="AG14" s="71"/>
      <c r="AH14" s="71"/>
      <c r="AI14" s="71" t="s">
        <v>46</v>
      </c>
    </row>
    <row r="15" spans="1:35" ht="18.75" customHeight="1" thickBot="1" x14ac:dyDescent="0.3">
      <c r="B15" s="326"/>
      <c r="C15" s="27" t="s">
        <v>73</v>
      </c>
      <c r="D15" s="89" t="s">
        <v>91</v>
      </c>
      <c r="E15" s="119" t="s">
        <v>46</v>
      </c>
      <c r="F15" s="48" t="s">
        <v>46</v>
      </c>
      <c r="G15" s="48" t="s">
        <v>46</v>
      </c>
      <c r="H15" s="48" t="s">
        <v>46</v>
      </c>
      <c r="I15" s="48" t="s">
        <v>46</v>
      </c>
      <c r="J15" s="130" t="s">
        <v>46</v>
      </c>
      <c r="K15" s="139"/>
      <c r="L15" s="72"/>
      <c r="M15" s="72"/>
      <c r="N15" s="73"/>
      <c r="O15" s="72" t="s">
        <v>46</v>
      </c>
      <c r="P15" s="72"/>
      <c r="Q15" s="72"/>
      <c r="R15" s="73"/>
      <c r="S15" s="73"/>
      <c r="T15" s="72" t="s">
        <v>46</v>
      </c>
      <c r="U15" s="72"/>
      <c r="V15" s="72"/>
      <c r="W15" s="73"/>
      <c r="X15" s="73"/>
      <c r="Y15" s="72" t="s">
        <v>46</v>
      </c>
      <c r="Z15" s="72"/>
      <c r="AA15" s="72"/>
      <c r="AB15" s="73"/>
      <c r="AC15" s="73"/>
      <c r="AD15" s="72" t="s">
        <v>46</v>
      </c>
      <c r="AE15" s="72"/>
      <c r="AF15" s="72"/>
      <c r="AG15" s="73"/>
      <c r="AH15" s="73"/>
      <c r="AI15" s="75" t="s">
        <v>46</v>
      </c>
    </row>
    <row r="16" spans="1:35" ht="18.75" customHeight="1" thickBot="1" x14ac:dyDescent="0.3">
      <c r="B16" s="30" t="s">
        <v>92</v>
      </c>
      <c r="C16" s="29" t="s">
        <v>94</v>
      </c>
      <c r="D16" s="87" t="s">
        <v>93</v>
      </c>
      <c r="E16" s="131" t="s">
        <v>46</v>
      </c>
      <c r="F16" s="76"/>
      <c r="G16" s="76"/>
      <c r="H16" s="76"/>
      <c r="I16" s="76"/>
      <c r="J16" s="132" t="s">
        <v>46</v>
      </c>
      <c r="K16" s="104"/>
      <c r="L16" s="76"/>
      <c r="M16" s="76"/>
      <c r="N16" s="34"/>
      <c r="O16" s="76" t="s">
        <v>46</v>
      </c>
      <c r="P16" s="76"/>
      <c r="Q16" s="76"/>
      <c r="R16" s="34"/>
      <c r="S16" s="34"/>
      <c r="T16" s="76" t="s">
        <v>46</v>
      </c>
      <c r="U16" s="76"/>
      <c r="V16" s="76"/>
      <c r="W16" s="34"/>
      <c r="X16" s="34"/>
      <c r="Y16" s="76" t="s">
        <v>46</v>
      </c>
      <c r="Z16" s="76"/>
      <c r="AA16" s="76"/>
      <c r="AB16" s="34"/>
      <c r="AC16" s="34"/>
      <c r="AD16" s="76" t="s">
        <v>46</v>
      </c>
      <c r="AE16" s="76"/>
      <c r="AF16" s="76"/>
      <c r="AG16" s="34"/>
      <c r="AH16" s="34"/>
      <c r="AI16" s="76" t="s">
        <v>46</v>
      </c>
    </row>
    <row r="17" spans="1:36" s="26" customFormat="1" ht="20.25" customHeight="1" x14ac:dyDescent="0.25">
      <c r="A17"/>
      <c r="B17" s="77" t="s">
        <v>13</v>
      </c>
      <c r="C17" s="78" t="s">
        <v>13</v>
      </c>
      <c r="D17" s="90" t="s">
        <v>63</v>
      </c>
      <c r="E17" s="111"/>
      <c r="F17" s="33"/>
      <c r="G17" s="33"/>
      <c r="H17" s="33"/>
      <c r="I17" s="33"/>
      <c r="J17" s="112"/>
      <c r="K17" s="95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28" t="s">
        <v>46</v>
      </c>
    </row>
    <row r="19" spans="1:36" ht="16.5" x14ac:dyDescent="0.25">
      <c r="E19" s="133" t="s">
        <v>105</v>
      </c>
      <c r="F19" s="43" t="s">
        <v>106</v>
      </c>
      <c r="G19" s="43" t="s">
        <v>17</v>
      </c>
      <c r="H19" s="43" t="s">
        <v>18</v>
      </c>
      <c r="I19" s="43" t="s">
        <v>19</v>
      </c>
      <c r="J19" s="134" t="s">
        <v>20</v>
      </c>
      <c r="K19" s="93" t="s">
        <v>21</v>
      </c>
      <c r="L19" s="43" t="s">
        <v>22</v>
      </c>
      <c r="M19" s="43" t="s">
        <v>23</v>
      </c>
      <c r="N19" s="43" t="s">
        <v>24</v>
      </c>
      <c r="O19" s="43" t="s">
        <v>25</v>
      </c>
      <c r="P19" s="43" t="s">
        <v>26</v>
      </c>
      <c r="Q19" s="43" t="s">
        <v>27</v>
      </c>
      <c r="R19" s="43" t="s">
        <v>28</v>
      </c>
      <c r="S19" s="43" t="s">
        <v>29</v>
      </c>
      <c r="T19" s="43" t="s">
        <v>30</v>
      </c>
      <c r="U19" s="43" t="s">
        <v>31</v>
      </c>
      <c r="V19" s="43" t="s">
        <v>32</v>
      </c>
      <c r="W19" s="43" t="s">
        <v>33</v>
      </c>
      <c r="X19" s="43" t="s">
        <v>34</v>
      </c>
      <c r="Y19" s="43" t="s">
        <v>35</v>
      </c>
      <c r="Z19" s="43" t="s">
        <v>36</v>
      </c>
      <c r="AA19" s="43" t="s">
        <v>37</v>
      </c>
      <c r="AB19" s="43" t="s">
        <v>38</v>
      </c>
      <c r="AC19" s="43" t="s">
        <v>39</v>
      </c>
      <c r="AD19" s="43" t="s">
        <v>40</v>
      </c>
      <c r="AE19" s="43" t="s">
        <v>41</v>
      </c>
      <c r="AF19" s="43" t="s">
        <v>42</v>
      </c>
      <c r="AG19" s="43" t="s">
        <v>43</v>
      </c>
      <c r="AH19" s="43" t="s">
        <v>44</v>
      </c>
      <c r="AI19" s="43" t="s">
        <v>45</v>
      </c>
    </row>
    <row r="20" spans="1:36" ht="25.5" customHeight="1" x14ac:dyDescent="0.25">
      <c r="B20" s="319" t="s">
        <v>59</v>
      </c>
      <c r="C20" s="319"/>
      <c r="D20" s="85" t="s">
        <v>60</v>
      </c>
      <c r="E20" s="109">
        <v>2023</v>
      </c>
      <c r="F20" s="38">
        <v>2024</v>
      </c>
      <c r="G20" s="38">
        <v>2025</v>
      </c>
      <c r="H20" s="38">
        <v>2026</v>
      </c>
      <c r="I20" s="38">
        <v>2027</v>
      </c>
      <c r="J20" s="110">
        <v>2028</v>
      </c>
      <c r="K20" s="94">
        <v>2029</v>
      </c>
      <c r="L20" s="38">
        <v>2030</v>
      </c>
      <c r="M20" s="38">
        <v>2031</v>
      </c>
      <c r="N20" s="38">
        <v>2032</v>
      </c>
      <c r="O20" s="38">
        <v>2033</v>
      </c>
      <c r="P20" s="38">
        <v>2034</v>
      </c>
      <c r="Q20" s="38">
        <v>2035</v>
      </c>
      <c r="R20" s="38">
        <v>2036</v>
      </c>
      <c r="S20" s="38">
        <v>2037</v>
      </c>
      <c r="T20" s="38">
        <v>2038</v>
      </c>
      <c r="U20" s="38">
        <v>2039</v>
      </c>
      <c r="V20" s="38">
        <v>2040</v>
      </c>
      <c r="W20" s="38">
        <v>2041</v>
      </c>
      <c r="X20" s="38">
        <v>2042</v>
      </c>
      <c r="Y20" s="38">
        <v>2043</v>
      </c>
      <c r="Z20" s="38">
        <v>2044</v>
      </c>
      <c r="AA20" s="38">
        <v>2045</v>
      </c>
      <c r="AB20" s="38">
        <v>2046</v>
      </c>
      <c r="AC20" s="38">
        <v>2047</v>
      </c>
      <c r="AD20" s="38">
        <v>2048</v>
      </c>
      <c r="AE20" s="38">
        <v>2049</v>
      </c>
      <c r="AF20" s="38">
        <v>2050</v>
      </c>
      <c r="AG20" s="38">
        <v>2051</v>
      </c>
      <c r="AH20" s="38">
        <v>2052</v>
      </c>
      <c r="AI20" s="38">
        <v>2053</v>
      </c>
    </row>
    <row r="21" spans="1:36" ht="18" customHeight="1" x14ac:dyDescent="0.25">
      <c r="B21" s="330" t="s">
        <v>69</v>
      </c>
      <c r="C21" s="79" t="s">
        <v>96</v>
      </c>
      <c r="D21" s="91" t="s">
        <v>77</v>
      </c>
      <c r="E21" s="128" t="s">
        <v>46</v>
      </c>
      <c r="F21" s="71"/>
      <c r="G21" s="71"/>
      <c r="H21" s="71"/>
      <c r="I21" s="71"/>
      <c r="J21" s="129" t="s">
        <v>46</v>
      </c>
      <c r="K21" s="103"/>
      <c r="L21" s="71"/>
      <c r="M21" s="71"/>
      <c r="N21" s="71"/>
      <c r="O21" s="71" t="s">
        <v>46</v>
      </c>
      <c r="P21" s="71"/>
      <c r="Q21" s="71"/>
      <c r="R21" s="71"/>
      <c r="S21" s="71"/>
      <c r="T21" s="71" t="s">
        <v>46</v>
      </c>
      <c r="U21" s="71"/>
      <c r="V21" s="71"/>
      <c r="W21" s="71"/>
      <c r="X21" s="71"/>
      <c r="Y21" s="71" t="s">
        <v>46</v>
      </c>
      <c r="Z21" s="31"/>
      <c r="AA21" s="31"/>
      <c r="AB21" s="71"/>
      <c r="AC21" s="80"/>
      <c r="AD21" s="31" t="s">
        <v>46</v>
      </c>
      <c r="AE21" s="71"/>
      <c r="AF21" s="31"/>
      <c r="AG21" s="31"/>
      <c r="AH21" s="71"/>
      <c r="AI21" s="31" t="s">
        <v>46</v>
      </c>
    </row>
    <row r="22" spans="1:36" ht="18" customHeight="1" x14ac:dyDescent="0.25">
      <c r="B22" s="330"/>
      <c r="C22" s="79" t="s">
        <v>95</v>
      </c>
      <c r="D22" s="91" t="s">
        <v>77</v>
      </c>
      <c r="E22" s="128" t="s">
        <v>46</v>
      </c>
      <c r="F22" s="71"/>
      <c r="G22" s="71"/>
      <c r="H22" s="71"/>
      <c r="I22" s="71"/>
      <c r="J22" s="129"/>
      <c r="K22" s="103"/>
      <c r="L22" s="71"/>
      <c r="M22" s="71"/>
      <c r="N22" s="71"/>
      <c r="O22" s="71" t="s">
        <v>46</v>
      </c>
      <c r="P22" s="71"/>
      <c r="Q22" s="71"/>
      <c r="R22" s="71"/>
      <c r="S22" s="71"/>
      <c r="T22" s="71"/>
      <c r="U22" s="71"/>
      <c r="V22" s="71"/>
      <c r="W22" s="71"/>
      <c r="X22" s="71"/>
      <c r="Y22" s="71" t="s">
        <v>46</v>
      </c>
      <c r="Z22" s="31"/>
      <c r="AA22" s="31"/>
      <c r="AB22" s="71"/>
      <c r="AC22" s="80"/>
      <c r="AD22" s="31"/>
      <c r="AE22" s="71"/>
      <c r="AF22" s="31"/>
      <c r="AG22" s="31"/>
      <c r="AH22" s="71"/>
      <c r="AI22" s="31"/>
    </row>
    <row r="23" spans="1:36" ht="23.25" customHeight="1" x14ac:dyDescent="0.25">
      <c r="B23" s="330"/>
      <c r="C23" s="79" t="s">
        <v>86</v>
      </c>
      <c r="D23" s="91" t="s">
        <v>65</v>
      </c>
      <c r="E23" s="128" t="s">
        <v>46</v>
      </c>
      <c r="F23" s="71"/>
      <c r="G23" s="71"/>
      <c r="H23" s="71"/>
      <c r="I23" s="71"/>
      <c r="J23" s="129"/>
      <c r="K23" s="103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31"/>
      <c r="AA23" s="31"/>
      <c r="AB23" s="71"/>
      <c r="AC23" s="80"/>
      <c r="AD23" s="31"/>
      <c r="AE23" s="71"/>
      <c r="AF23" s="31"/>
      <c r="AG23" s="31"/>
      <c r="AH23" s="71"/>
      <c r="AI23" s="31"/>
    </row>
    <row r="24" spans="1:36" ht="22.5" customHeight="1" x14ac:dyDescent="0.25">
      <c r="B24" s="330"/>
      <c r="C24" s="79" t="s">
        <v>97</v>
      </c>
      <c r="D24" s="91" t="s">
        <v>65</v>
      </c>
      <c r="E24" s="128" t="s">
        <v>46</v>
      </c>
      <c r="F24" s="71"/>
      <c r="G24" s="71"/>
      <c r="H24" s="71"/>
      <c r="I24" s="71"/>
      <c r="J24" s="129"/>
      <c r="K24" s="103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31"/>
      <c r="AA24" s="31"/>
      <c r="AB24" s="71"/>
      <c r="AC24" s="80"/>
      <c r="AD24" s="31"/>
      <c r="AE24" s="71"/>
      <c r="AF24" s="31"/>
      <c r="AG24" s="31"/>
      <c r="AH24" s="71"/>
      <c r="AI24" s="31"/>
    </row>
    <row r="25" spans="1:36" ht="18" customHeight="1" x14ac:dyDescent="0.25">
      <c r="B25" s="330"/>
      <c r="C25" s="79" t="s">
        <v>87</v>
      </c>
      <c r="D25" s="91" t="s">
        <v>65</v>
      </c>
      <c r="E25" s="128" t="s">
        <v>46</v>
      </c>
      <c r="F25" s="71"/>
      <c r="G25" s="71"/>
      <c r="H25" s="71"/>
      <c r="I25" s="71"/>
      <c r="J25" s="129"/>
      <c r="K25" s="103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31"/>
      <c r="AA25" s="31"/>
      <c r="AB25" s="71"/>
      <c r="AC25" s="80"/>
      <c r="AD25" s="31"/>
      <c r="AE25" s="71"/>
      <c r="AF25" s="31"/>
      <c r="AG25" s="31"/>
      <c r="AH25" s="71"/>
      <c r="AI25" s="31"/>
    </row>
    <row r="26" spans="1:36" ht="18" customHeight="1" x14ac:dyDescent="0.25">
      <c r="B26" s="330"/>
      <c r="C26" s="79" t="s">
        <v>88</v>
      </c>
      <c r="D26" s="91" t="s">
        <v>66</v>
      </c>
      <c r="E26" s="334" t="s">
        <v>98</v>
      </c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334"/>
      <c r="AD26" s="334"/>
      <c r="AE26" s="334"/>
      <c r="AF26" s="334"/>
      <c r="AG26" s="334"/>
      <c r="AH26" s="334"/>
      <c r="AI26" s="334"/>
    </row>
    <row r="27" spans="1:36" ht="15.75" customHeight="1" thickBot="1" x14ac:dyDescent="0.3">
      <c r="B27" s="331"/>
      <c r="C27" s="81" t="s">
        <v>99</v>
      </c>
      <c r="D27" s="92" t="s">
        <v>67</v>
      </c>
      <c r="E27" s="135" t="s">
        <v>46</v>
      </c>
      <c r="F27" s="82"/>
      <c r="G27" s="82"/>
      <c r="H27" s="83"/>
      <c r="I27" s="83"/>
      <c r="J27" s="136"/>
      <c r="K27" s="105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</row>
    <row r="28" spans="1:36" ht="17.25" customHeight="1" thickBot="1" x14ac:dyDescent="0.3">
      <c r="B28" s="30" t="s">
        <v>70</v>
      </c>
      <c r="C28" s="29" t="s">
        <v>100</v>
      </c>
      <c r="D28" s="87" t="s">
        <v>68</v>
      </c>
      <c r="E28" s="131"/>
      <c r="F28" s="76" t="s">
        <v>46</v>
      </c>
      <c r="G28" s="76"/>
      <c r="H28" s="76"/>
      <c r="I28" s="34" t="s">
        <v>46</v>
      </c>
      <c r="J28" s="132"/>
      <c r="K28" s="104"/>
      <c r="L28" s="34" t="s">
        <v>46</v>
      </c>
      <c r="M28" s="76"/>
      <c r="N28" s="76"/>
      <c r="O28" s="34" t="s">
        <v>46</v>
      </c>
      <c r="P28" s="76"/>
      <c r="Q28" s="76"/>
      <c r="R28" s="34" t="s">
        <v>46</v>
      </c>
      <c r="S28" s="76"/>
      <c r="T28" s="76"/>
      <c r="U28" s="34" t="s">
        <v>46</v>
      </c>
      <c r="V28" s="76"/>
      <c r="W28" s="76"/>
      <c r="X28" s="34" t="s">
        <v>46</v>
      </c>
      <c r="Y28" s="76"/>
      <c r="Z28" s="76"/>
      <c r="AA28" s="34" t="s">
        <v>46</v>
      </c>
      <c r="AB28" s="76"/>
      <c r="AC28" s="76"/>
      <c r="AD28" s="34" t="s">
        <v>46</v>
      </c>
      <c r="AE28" s="76"/>
      <c r="AF28" s="76"/>
      <c r="AG28" s="34" t="s">
        <v>46</v>
      </c>
      <c r="AH28" s="34"/>
      <c r="AI28" s="49"/>
    </row>
    <row r="29" spans="1:36" ht="15.75" thickBot="1" x14ac:dyDescent="0.3"/>
    <row r="30" spans="1:36" ht="16.5" x14ac:dyDescent="0.25">
      <c r="E30" s="199" t="s">
        <v>105</v>
      </c>
      <c r="F30" s="200" t="s">
        <v>106</v>
      </c>
      <c r="G30" s="200" t="s">
        <v>17</v>
      </c>
      <c r="H30" s="200" t="s">
        <v>18</v>
      </c>
      <c r="I30" s="200" t="s">
        <v>19</v>
      </c>
      <c r="J30" s="201" t="s">
        <v>20</v>
      </c>
      <c r="K30" s="191" t="s">
        <v>21</v>
      </c>
      <c r="L30" s="152" t="s">
        <v>22</v>
      </c>
      <c r="M30" s="152" t="s">
        <v>23</v>
      </c>
      <c r="N30" s="152" t="s">
        <v>24</v>
      </c>
      <c r="O30" s="152" t="s">
        <v>25</v>
      </c>
      <c r="P30" s="152" t="s">
        <v>26</v>
      </c>
      <c r="Q30" s="152" t="s">
        <v>27</v>
      </c>
      <c r="R30" s="152" t="s">
        <v>28</v>
      </c>
      <c r="S30" s="152" t="s">
        <v>29</v>
      </c>
      <c r="T30" s="152" t="s">
        <v>30</v>
      </c>
      <c r="U30" s="152" t="s">
        <v>31</v>
      </c>
      <c r="V30" s="152" t="s">
        <v>32</v>
      </c>
      <c r="W30" s="152" t="s">
        <v>33</v>
      </c>
      <c r="X30" s="152" t="s">
        <v>34</v>
      </c>
      <c r="Y30" s="152" t="s">
        <v>35</v>
      </c>
      <c r="Z30" s="152" t="s">
        <v>36</v>
      </c>
      <c r="AA30" s="152" t="s">
        <v>37</v>
      </c>
      <c r="AB30" s="152" t="s">
        <v>38</v>
      </c>
      <c r="AC30" s="152" t="s">
        <v>39</v>
      </c>
      <c r="AD30" s="152" t="s">
        <v>40</v>
      </c>
      <c r="AE30" s="152" t="s">
        <v>41</v>
      </c>
      <c r="AF30" s="152" t="s">
        <v>42</v>
      </c>
      <c r="AG30" s="152" t="s">
        <v>43</v>
      </c>
      <c r="AH30" s="152" t="s">
        <v>44</v>
      </c>
      <c r="AI30" s="152" t="s">
        <v>45</v>
      </c>
    </row>
    <row r="31" spans="1:36" ht="15" customHeight="1" x14ac:dyDescent="0.25">
      <c r="B31" s="278" t="s">
        <v>58</v>
      </c>
      <c r="C31" s="279"/>
      <c r="D31" s="184" t="s">
        <v>60</v>
      </c>
      <c r="E31" s="202">
        <v>2023</v>
      </c>
      <c r="F31" s="146">
        <v>2024</v>
      </c>
      <c r="G31" s="146">
        <v>2025</v>
      </c>
      <c r="H31" s="146">
        <v>2026</v>
      </c>
      <c r="I31" s="146">
        <v>2027</v>
      </c>
      <c r="J31" s="203">
        <v>2028</v>
      </c>
      <c r="K31" s="192">
        <v>2029</v>
      </c>
      <c r="L31" s="146">
        <v>2030</v>
      </c>
      <c r="M31" s="146">
        <v>2031</v>
      </c>
      <c r="N31" s="146">
        <v>2032</v>
      </c>
      <c r="O31" s="146">
        <v>2033</v>
      </c>
      <c r="P31" s="146">
        <v>2034</v>
      </c>
      <c r="Q31" s="146">
        <v>2035</v>
      </c>
      <c r="R31" s="146">
        <v>2036</v>
      </c>
      <c r="S31" s="146">
        <v>2037</v>
      </c>
      <c r="T31" s="146">
        <v>2038</v>
      </c>
      <c r="U31" s="146">
        <v>2039</v>
      </c>
      <c r="V31" s="146">
        <v>2040</v>
      </c>
      <c r="W31" s="146">
        <v>2041</v>
      </c>
      <c r="X31" s="146">
        <v>2042</v>
      </c>
      <c r="Y31" s="146">
        <v>2043</v>
      </c>
      <c r="Z31" s="146">
        <v>2044</v>
      </c>
      <c r="AA31" s="146">
        <v>2045</v>
      </c>
      <c r="AB31" s="146">
        <v>2046</v>
      </c>
      <c r="AC31" s="146">
        <v>2047</v>
      </c>
      <c r="AD31" s="146">
        <v>2048</v>
      </c>
      <c r="AE31" s="146">
        <v>2049</v>
      </c>
      <c r="AF31" s="146">
        <v>2050</v>
      </c>
      <c r="AG31" s="146">
        <v>2051</v>
      </c>
      <c r="AH31" s="146">
        <v>2052</v>
      </c>
      <c r="AI31" s="146">
        <v>2053</v>
      </c>
    </row>
    <row r="32" spans="1:36" x14ac:dyDescent="0.25">
      <c r="B32" s="297" t="s">
        <v>11</v>
      </c>
      <c r="C32" s="147" t="s">
        <v>48</v>
      </c>
      <c r="D32" s="332" t="s">
        <v>62</v>
      </c>
      <c r="E32" s="335">
        <v>2425</v>
      </c>
      <c r="F32" s="280">
        <v>2425</v>
      </c>
      <c r="G32" s="280">
        <f>'Suivis et pilotage'!C9</f>
        <v>2425</v>
      </c>
      <c r="H32" s="280">
        <v>2425</v>
      </c>
      <c r="I32" s="280">
        <v>2425</v>
      </c>
      <c r="J32" s="337">
        <v>2425</v>
      </c>
      <c r="K32" s="311">
        <v>1125</v>
      </c>
      <c r="L32" s="280">
        <v>1125</v>
      </c>
      <c r="M32" s="280">
        <v>1125</v>
      </c>
      <c r="N32" s="280">
        <v>1125</v>
      </c>
      <c r="O32" s="280">
        <v>2425</v>
      </c>
      <c r="P32" s="280">
        <v>1125</v>
      </c>
      <c r="Q32" s="280">
        <v>1125</v>
      </c>
      <c r="R32" s="280">
        <v>1125</v>
      </c>
      <c r="S32" s="280">
        <v>1125</v>
      </c>
      <c r="T32" s="280">
        <v>2425</v>
      </c>
      <c r="U32" s="280">
        <v>1125</v>
      </c>
      <c r="V32" s="280">
        <v>1125</v>
      </c>
      <c r="W32" s="280">
        <v>1125</v>
      </c>
      <c r="X32" s="280">
        <v>1125</v>
      </c>
      <c r="Y32" s="280">
        <v>2425</v>
      </c>
      <c r="Z32" s="280">
        <v>1125</v>
      </c>
      <c r="AA32" s="280">
        <v>1125</v>
      </c>
      <c r="AB32" s="280">
        <v>1125</v>
      </c>
      <c r="AC32" s="280">
        <v>1125</v>
      </c>
      <c r="AD32" s="280">
        <v>2425</v>
      </c>
      <c r="AE32" s="280">
        <v>1125</v>
      </c>
      <c r="AF32" s="280">
        <v>1125</v>
      </c>
      <c r="AG32" s="280">
        <v>1125</v>
      </c>
      <c r="AH32" s="280">
        <v>1125</v>
      </c>
      <c r="AI32" s="280">
        <v>2425</v>
      </c>
      <c r="AJ32" s="306">
        <f>SUM(E32:AI34)</f>
        <v>49175</v>
      </c>
    </row>
    <row r="33" spans="2:38" ht="15" customHeight="1" x14ac:dyDescent="0.25">
      <c r="B33" s="297"/>
      <c r="C33" s="147" t="s">
        <v>74</v>
      </c>
      <c r="D33" s="332"/>
      <c r="E33" s="335"/>
      <c r="F33" s="280"/>
      <c r="G33" s="280"/>
      <c r="H33" s="280"/>
      <c r="I33" s="280"/>
      <c r="J33" s="337"/>
      <c r="K33" s="311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307"/>
    </row>
    <row r="34" spans="2:38" x14ac:dyDescent="0.25">
      <c r="B34" s="298"/>
      <c r="C34" s="158" t="s">
        <v>108</v>
      </c>
      <c r="D34" s="333"/>
      <c r="E34" s="336"/>
      <c r="F34" s="281"/>
      <c r="G34" s="281"/>
      <c r="H34" s="281"/>
      <c r="I34" s="281"/>
      <c r="J34" s="338"/>
      <c r="K34" s="312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307"/>
    </row>
    <row r="35" spans="2:38" ht="21" customHeight="1" x14ac:dyDescent="0.25">
      <c r="B35" s="169" t="s">
        <v>53</v>
      </c>
      <c r="C35" s="170" t="s">
        <v>54</v>
      </c>
      <c r="D35" s="187" t="s">
        <v>63</v>
      </c>
      <c r="E35" s="204">
        <f>'Suivis et pilotage'!C35</f>
        <v>4100</v>
      </c>
      <c r="F35" s="171"/>
      <c r="G35" s="171"/>
      <c r="H35" s="171"/>
      <c r="I35" s="171"/>
      <c r="J35" s="205" t="s">
        <v>112</v>
      </c>
      <c r="K35" s="193"/>
      <c r="L35" s="171"/>
      <c r="M35" s="171"/>
      <c r="N35" s="171"/>
      <c r="O35" s="171" t="s">
        <v>112</v>
      </c>
      <c r="P35" s="171"/>
      <c r="Q35" s="171"/>
      <c r="R35" s="171"/>
      <c r="S35" s="171"/>
      <c r="T35" s="171" t="s">
        <v>112</v>
      </c>
      <c r="U35" s="171"/>
      <c r="V35" s="171"/>
      <c r="W35" s="171"/>
      <c r="X35" s="171"/>
      <c r="Y35" s="171" t="s">
        <v>112</v>
      </c>
      <c r="Z35" s="171"/>
      <c r="AA35" s="171"/>
      <c r="AB35" s="171"/>
      <c r="AC35" s="171"/>
      <c r="AD35" s="171" t="s">
        <v>112</v>
      </c>
      <c r="AE35" s="171"/>
      <c r="AF35" s="171"/>
      <c r="AG35" s="171"/>
      <c r="AH35" s="171"/>
      <c r="AI35" s="172"/>
      <c r="AJ35" s="60">
        <f>SUM(E35:AI35)</f>
        <v>4100</v>
      </c>
    </row>
    <row r="36" spans="2:38" ht="16.5" x14ac:dyDescent="0.25">
      <c r="B36" s="161" t="s">
        <v>55</v>
      </c>
      <c r="C36" s="162" t="s">
        <v>61</v>
      </c>
      <c r="D36" s="188" t="s">
        <v>62</v>
      </c>
      <c r="E36" s="206">
        <v>2925</v>
      </c>
      <c r="F36" s="163">
        <v>975</v>
      </c>
      <c r="G36" s="163"/>
      <c r="H36" s="163"/>
      <c r="I36" s="163">
        <v>975</v>
      </c>
      <c r="J36" s="207"/>
      <c r="K36" s="194"/>
      <c r="L36" s="163">
        <v>975</v>
      </c>
      <c r="M36" s="164"/>
      <c r="N36" s="163"/>
      <c r="O36" s="163">
        <v>975</v>
      </c>
      <c r="P36" s="164"/>
      <c r="Q36" s="163"/>
      <c r="R36" s="163">
        <v>975</v>
      </c>
      <c r="S36" s="164"/>
      <c r="T36" s="163"/>
      <c r="U36" s="163">
        <v>975</v>
      </c>
      <c r="V36" s="164"/>
      <c r="W36" s="163"/>
      <c r="X36" s="163">
        <v>975</v>
      </c>
      <c r="Y36" s="164"/>
      <c r="Z36" s="163"/>
      <c r="AA36" s="163">
        <v>975</v>
      </c>
      <c r="AB36" s="164"/>
      <c r="AC36" s="163"/>
      <c r="AD36" s="163">
        <v>975</v>
      </c>
      <c r="AE36" s="164"/>
      <c r="AF36" s="163"/>
      <c r="AG36" s="163">
        <v>975</v>
      </c>
      <c r="AH36" s="165"/>
      <c r="AI36" s="163"/>
      <c r="AJ36" s="60">
        <f>SUM(E36:AI36)</f>
        <v>12675</v>
      </c>
    </row>
    <row r="37" spans="2:38" ht="15" customHeight="1" x14ac:dyDescent="0.25">
      <c r="B37" s="290" t="s">
        <v>57</v>
      </c>
      <c r="C37" s="173" t="s">
        <v>50</v>
      </c>
      <c r="D37" s="293" t="s">
        <v>90</v>
      </c>
      <c r="E37" s="313">
        <v>3375</v>
      </c>
      <c r="F37" s="282">
        <v>3375</v>
      </c>
      <c r="G37" s="282">
        <v>3375</v>
      </c>
      <c r="H37" s="282">
        <v>3375</v>
      </c>
      <c r="I37" s="282">
        <v>3375</v>
      </c>
      <c r="J37" s="316">
        <v>3375</v>
      </c>
      <c r="K37" s="299"/>
      <c r="L37" s="282"/>
      <c r="M37" s="282"/>
      <c r="N37" s="282"/>
      <c r="O37" s="282">
        <v>3375</v>
      </c>
      <c r="P37" s="282"/>
      <c r="Q37" s="282"/>
      <c r="R37" s="282"/>
      <c r="S37" s="282"/>
      <c r="T37" s="282">
        <v>3375</v>
      </c>
      <c r="U37" s="282"/>
      <c r="V37" s="282"/>
      <c r="W37" s="282"/>
      <c r="X37" s="282"/>
      <c r="Y37" s="282">
        <v>3375</v>
      </c>
      <c r="Z37" s="282"/>
      <c r="AA37" s="282"/>
      <c r="AB37" s="282"/>
      <c r="AC37" s="282"/>
      <c r="AD37" s="282">
        <v>3375</v>
      </c>
      <c r="AE37" s="282"/>
      <c r="AF37" s="282"/>
      <c r="AG37" s="282"/>
      <c r="AH37" s="282"/>
      <c r="AI37" s="308">
        <v>3375</v>
      </c>
      <c r="AJ37" s="306">
        <f>SUM(E37:AI41)</f>
        <v>37125</v>
      </c>
    </row>
    <row r="38" spans="2:38" x14ac:dyDescent="0.25">
      <c r="B38" s="291"/>
      <c r="C38" s="149" t="s">
        <v>80</v>
      </c>
      <c r="D38" s="294"/>
      <c r="E38" s="314"/>
      <c r="F38" s="283"/>
      <c r="G38" s="283"/>
      <c r="H38" s="283"/>
      <c r="I38" s="283"/>
      <c r="J38" s="317"/>
      <c r="K38" s="300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309"/>
      <c r="AJ38" s="307"/>
    </row>
    <row r="39" spans="2:38" x14ac:dyDescent="0.25">
      <c r="B39" s="291"/>
      <c r="C39" s="149" t="s">
        <v>81</v>
      </c>
      <c r="D39" s="294"/>
      <c r="E39" s="314"/>
      <c r="F39" s="283"/>
      <c r="G39" s="283"/>
      <c r="H39" s="283"/>
      <c r="I39" s="283"/>
      <c r="J39" s="317"/>
      <c r="K39" s="300" t="s">
        <v>75</v>
      </c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309"/>
      <c r="AJ39" s="307"/>
    </row>
    <row r="40" spans="2:38" ht="18.75" customHeight="1" x14ac:dyDescent="0.25">
      <c r="B40" s="291"/>
      <c r="C40" s="149" t="s">
        <v>114</v>
      </c>
      <c r="D40" s="294"/>
      <c r="E40" s="314"/>
      <c r="F40" s="283"/>
      <c r="G40" s="283"/>
      <c r="H40" s="283"/>
      <c r="I40" s="283"/>
      <c r="J40" s="317"/>
      <c r="K40" s="300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309"/>
      <c r="AJ40" s="307"/>
    </row>
    <row r="41" spans="2:38" ht="22.5" customHeight="1" x14ac:dyDescent="0.25">
      <c r="B41" s="292"/>
      <c r="C41" s="174" t="s">
        <v>9</v>
      </c>
      <c r="D41" s="295"/>
      <c r="E41" s="315"/>
      <c r="F41" s="284"/>
      <c r="G41" s="284"/>
      <c r="H41" s="284"/>
      <c r="I41" s="284"/>
      <c r="J41" s="318"/>
      <c r="K41" s="301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  <c r="AI41" s="310"/>
      <c r="AJ41" s="307"/>
    </row>
    <row r="42" spans="2:38" ht="16.5" customHeight="1" x14ac:dyDescent="0.25">
      <c r="B42" s="296" t="s">
        <v>119</v>
      </c>
      <c r="C42" s="166" t="s">
        <v>103</v>
      </c>
      <c r="D42" s="189" t="s">
        <v>77</v>
      </c>
      <c r="E42" s="302">
        <v>2450</v>
      </c>
      <c r="F42" s="287">
        <v>2450</v>
      </c>
      <c r="G42" s="287">
        <v>2450</v>
      </c>
      <c r="H42" s="287">
        <v>2450</v>
      </c>
      <c r="I42" s="287">
        <v>2450</v>
      </c>
      <c r="J42" s="344">
        <v>2450</v>
      </c>
      <c r="K42" s="195"/>
      <c r="L42" s="167"/>
      <c r="M42" s="167"/>
      <c r="N42" s="167"/>
      <c r="O42" s="287">
        <v>2450</v>
      </c>
      <c r="P42" s="167"/>
      <c r="Q42" s="167"/>
      <c r="R42" s="167"/>
      <c r="S42" s="167"/>
      <c r="T42" s="287">
        <v>2450</v>
      </c>
      <c r="U42" s="167"/>
      <c r="V42" s="167"/>
      <c r="W42" s="167"/>
      <c r="X42" s="167"/>
      <c r="Y42" s="287">
        <v>2450</v>
      </c>
      <c r="Z42" s="167"/>
      <c r="AA42" s="167"/>
      <c r="AB42" s="167"/>
      <c r="AC42" s="167"/>
      <c r="AD42" s="287">
        <v>2450</v>
      </c>
      <c r="AE42" s="167"/>
      <c r="AF42" s="167"/>
      <c r="AG42" s="167"/>
      <c r="AH42" s="167"/>
      <c r="AI42" s="287">
        <v>2450</v>
      </c>
      <c r="AJ42" s="305">
        <f>SUM(E42:AI45)</f>
        <v>26950</v>
      </c>
    </row>
    <row r="43" spans="2:38" x14ac:dyDescent="0.25">
      <c r="B43" s="297"/>
      <c r="C43" s="147" t="s">
        <v>72</v>
      </c>
      <c r="D43" s="185" t="s">
        <v>64</v>
      </c>
      <c r="E43" s="303"/>
      <c r="F43" s="288"/>
      <c r="G43" s="288"/>
      <c r="H43" s="288"/>
      <c r="I43" s="288"/>
      <c r="J43" s="345"/>
      <c r="K43" s="196"/>
      <c r="L43" s="150"/>
      <c r="M43" s="150"/>
      <c r="N43" s="150"/>
      <c r="O43" s="288"/>
      <c r="P43" s="150"/>
      <c r="Q43" s="150"/>
      <c r="R43" s="150"/>
      <c r="S43" s="150"/>
      <c r="T43" s="288"/>
      <c r="U43" s="150"/>
      <c r="V43" s="150"/>
      <c r="W43" s="150"/>
      <c r="X43" s="150"/>
      <c r="Y43" s="288"/>
      <c r="Z43" s="150"/>
      <c r="AA43" s="150"/>
      <c r="AB43" s="150"/>
      <c r="AC43" s="150"/>
      <c r="AD43" s="288"/>
      <c r="AE43" s="150"/>
      <c r="AF43" s="150"/>
      <c r="AG43" s="150"/>
      <c r="AH43" s="150"/>
      <c r="AI43" s="288"/>
      <c r="AJ43" s="305"/>
    </row>
    <row r="44" spans="2:38" x14ac:dyDescent="0.25">
      <c r="B44" s="297"/>
      <c r="C44" s="147" t="s">
        <v>118</v>
      </c>
      <c r="D44" s="185" t="s">
        <v>93</v>
      </c>
      <c r="E44" s="303"/>
      <c r="F44" s="288"/>
      <c r="G44" s="288"/>
      <c r="H44" s="288"/>
      <c r="I44" s="288"/>
      <c r="J44" s="345"/>
      <c r="K44" s="196"/>
      <c r="L44" s="150"/>
      <c r="M44" s="150"/>
      <c r="N44" s="150"/>
      <c r="O44" s="288"/>
      <c r="P44" s="150"/>
      <c r="Q44" s="150"/>
      <c r="R44" s="150"/>
      <c r="S44" s="150"/>
      <c r="T44" s="288"/>
      <c r="U44" s="150"/>
      <c r="V44" s="150"/>
      <c r="W44" s="150"/>
      <c r="X44" s="150"/>
      <c r="Y44" s="288"/>
      <c r="Z44" s="150"/>
      <c r="AA44" s="150"/>
      <c r="AB44" s="150"/>
      <c r="AC44" s="150"/>
      <c r="AD44" s="288"/>
      <c r="AE44" s="150"/>
      <c r="AF44" s="150"/>
      <c r="AG44" s="150"/>
      <c r="AH44" s="150"/>
      <c r="AI44" s="288"/>
      <c r="AJ44" s="305"/>
    </row>
    <row r="45" spans="2:38" ht="16.5" x14ac:dyDescent="0.25">
      <c r="B45" s="298"/>
      <c r="C45" s="158" t="s">
        <v>113</v>
      </c>
      <c r="D45" s="186" t="s">
        <v>91</v>
      </c>
      <c r="E45" s="304"/>
      <c r="F45" s="289"/>
      <c r="G45" s="289"/>
      <c r="H45" s="289"/>
      <c r="I45" s="289"/>
      <c r="J45" s="346"/>
      <c r="K45" s="197"/>
      <c r="L45" s="160"/>
      <c r="M45" s="160"/>
      <c r="N45" s="159"/>
      <c r="O45" s="289"/>
      <c r="P45" s="160"/>
      <c r="Q45" s="160"/>
      <c r="R45" s="159"/>
      <c r="S45" s="159"/>
      <c r="T45" s="289"/>
      <c r="U45" s="160"/>
      <c r="V45" s="160"/>
      <c r="W45" s="159"/>
      <c r="X45" s="159"/>
      <c r="Y45" s="289"/>
      <c r="Z45" s="160"/>
      <c r="AA45" s="160"/>
      <c r="AB45" s="159"/>
      <c r="AC45" s="159"/>
      <c r="AD45" s="289"/>
      <c r="AE45" s="160"/>
      <c r="AF45" s="160"/>
      <c r="AG45" s="159"/>
      <c r="AH45" s="159"/>
      <c r="AI45" s="289"/>
      <c r="AJ45" s="305"/>
    </row>
    <row r="46" spans="2:38" ht="16.5" x14ac:dyDescent="0.25">
      <c r="B46" s="169" t="s">
        <v>13</v>
      </c>
      <c r="C46" s="175" t="s">
        <v>13</v>
      </c>
      <c r="D46" s="190" t="s">
        <v>63</v>
      </c>
      <c r="E46" s="204"/>
      <c r="F46" s="171"/>
      <c r="G46" s="171"/>
      <c r="H46" s="171"/>
      <c r="I46" s="171"/>
      <c r="J46" s="205"/>
      <c r="K46" s="193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6">
        <v>5200</v>
      </c>
      <c r="AJ46" s="60">
        <f t="shared" ref="AJ46" si="0">SUM(E46:AI46)</f>
        <v>5200</v>
      </c>
    </row>
    <row r="47" spans="2:38" ht="15.75" thickBot="1" x14ac:dyDescent="0.3">
      <c r="B47" s="141"/>
      <c r="C47" s="142"/>
      <c r="D47" s="142"/>
      <c r="E47" s="208">
        <f t="shared" ref="E47:AI47" si="1">SUM(E32:E46)</f>
        <v>15275</v>
      </c>
      <c r="F47" s="209">
        <f t="shared" si="1"/>
        <v>9225</v>
      </c>
      <c r="G47" s="209">
        <f t="shared" si="1"/>
        <v>8250</v>
      </c>
      <c r="H47" s="209">
        <f t="shared" si="1"/>
        <v>8250</v>
      </c>
      <c r="I47" s="209">
        <f t="shared" si="1"/>
        <v>9225</v>
      </c>
      <c r="J47" s="210">
        <f t="shared" si="1"/>
        <v>8250</v>
      </c>
      <c r="K47" s="198">
        <f t="shared" si="1"/>
        <v>1125</v>
      </c>
      <c r="L47" s="168">
        <f t="shared" si="1"/>
        <v>2100</v>
      </c>
      <c r="M47" s="168">
        <f t="shared" si="1"/>
        <v>1125</v>
      </c>
      <c r="N47" s="168">
        <f t="shared" si="1"/>
        <v>1125</v>
      </c>
      <c r="O47" s="168">
        <f t="shared" si="1"/>
        <v>9225</v>
      </c>
      <c r="P47" s="168">
        <f t="shared" si="1"/>
        <v>1125</v>
      </c>
      <c r="Q47" s="168">
        <f t="shared" si="1"/>
        <v>1125</v>
      </c>
      <c r="R47" s="168">
        <f t="shared" si="1"/>
        <v>2100</v>
      </c>
      <c r="S47" s="168">
        <f t="shared" si="1"/>
        <v>1125</v>
      </c>
      <c r="T47" s="168">
        <f t="shared" si="1"/>
        <v>8250</v>
      </c>
      <c r="U47" s="168">
        <f t="shared" si="1"/>
        <v>2100</v>
      </c>
      <c r="V47" s="168">
        <f t="shared" si="1"/>
        <v>1125</v>
      </c>
      <c r="W47" s="168">
        <f t="shared" si="1"/>
        <v>1125</v>
      </c>
      <c r="X47" s="168">
        <f t="shared" si="1"/>
        <v>2100</v>
      </c>
      <c r="Y47" s="168">
        <f t="shared" si="1"/>
        <v>8250</v>
      </c>
      <c r="Z47" s="168">
        <f t="shared" si="1"/>
        <v>1125</v>
      </c>
      <c r="AA47" s="168">
        <f t="shared" si="1"/>
        <v>2100</v>
      </c>
      <c r="AB47" s="168">
        <f t="shared" si="1"/>
        <v>1125</v>
      </c>
      <c r="AC47" s="168">
        <f t="shared" si="1"/>
        <v>1125</v>
      </c>
      <c r="AD47" s="168">
        <f t="shared" si="1"/>
        <v>9225</v>
      </c>
      <c r="AE47" s="168">
        <f t="shared" si="1"/>
        <v>1125</v>
      </c>
      <c r="AF47" s="168">
        <f t="shared" si="1"/>
        <v>1125</v>
      </c>
      <c r="AG47" s="168">
        <f t="shared" si="1"/>
        <v>2100</v>
      </c>
      <c r="AH47" s="168">
        <f t="shared" si="1"/>
        <v>1125</v>
      </c>
      <c r="AI47" s="168">
        <f t="shared" si="1"/>
        <v>13450</v>
      </c>
      <c r="AJ47" s="60">
        <f>SUM(E47:AI47)</f>
        <v>135225</v>
      </c>
      <c r="AK47" s="60">
        <f>AJ47*0.2</f>
        <v>27045</v>
      </c>
      <c r="AL47" s="60">
        <f>AJ47+AK47</f>
        <v>162270</v>
      </c>
    </row>
    <row r="48" spans="2:38" x14ac:dyDescent="0.25">
      <c r="E48" s="285">
        <f>SUM(E47:AI47)</f>
        <v>135225</v>
      </c>
      <c r="F48" s="285"/>
      <c r="G48" s="285"/>
      <c r="H48" s="285"/>
      <c r="I48" s="285"/>
      <c r="J48" s="285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60">
        <f>SUM(AJ32:AJ46)</f>
        <v>135225</v>
      </c>
    </row>
    <row r="49" spans="2:36" ht="15.75" thickBot="1" x14ac:dyDescent="0.3"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</row>
    <row r="50" spans="2:36" ht="16.5" x14ac:dyDescent="0.25">
      <c r="E50" s="199" t="s">
        <v>105</v>
      </c>
      <c r="F50" s="200" t="s">
        <v>106</v>
      </c>
      <c r="G50" s="200" t="s">
        <v>17</v>
      </c>
      <c r="H50" s="200" t="s">
        <v>18</v>
      </c>
      <c r="I50" s="200" t="s">
        <v>19</v>
      </c>
      <c r="J50" s="201" t="s">
        <v>20</v>
      </c>
      <c r="K50" s="191" t="s">
        <v>21</v>
      </c>
      <c r="L50" s="152" t="s">
        <v>22</v>
      </c>
      <c r="M50" s="152" t="s">
        <v>23</v>
      </c>
      <c r="N50" s="152" t="s">
        <v>24</v>
      </c>
      <c r="O50" s="152" t="s">
        <v>25</v>
      </c>
      <c r="P50" s="152" t="s">
        <v>26</v>
      </c>
      <c r="Q50" s="152" t="s">
        <v>27</v>
      </c>
      <c r="R50" s="152" t="s">
        <v>28</v>
      </c>
      <c r="S50" s="152" t="s">
        <v>29</v>
      </c>
      <c r="T50" s="152" t="s">
        <v>30</v>
      </c>
      <c r="U50" s="152" t="s">
        <v>31</v>
      </c>
      <c r="V50" s="152" t="s">
        <v>32</v>
      </c>
      <c r="W50" s="152" t="s">
        <v>33</v>
      </c>
      <c r="X50" s="152" t="s">
        <v>34</v>
      </c>
      <c r="Y50" s="152" t="s">
        <v>35</v>
      </c>
      <c r="Z50" s="152" t="s">
        <v>36</v>
      </c>
      <c r="AA50" s="152" t="s">
        <v>37</v>
      </c>
      <c r="AB50" s="152" t="s">
        <v>38</v>
      </c>
      <c r="AC50" s="152" t="s">
        <v>39</v>
      </c>
      <c r="AD50" s="152" t="s">
        <v>40</v>
      </c>
      <c r="AE50" s="152" t="s">
        <v>41</v>
      </c>
      <c r="AF50" s="152" t="s">
        <v>42</v>
      </c>
      <c r="AG50" s="152" t="s">
        <v>43</v>
      </c>
      <c r="AH50" s="152" t="s">
        <v>44</v>
      </c>
      <c r="AI50" s="152" t="s">
        <v>45</v>
      </c>
    </row>
    <row r="51" spans="2:36" ht="16.5" customHeight="1" x14ac:dyDescent="0.25">
      <c r="B51" s="278" t="s">
        <v>59</v>
      </c>
      <c r="C51" s="279"/>
      <c r="D51" s="184" t="s">
        <v>60</v>
      </c>
      <c r="E51" s="202">
        <v>2023</v>
      </c>
      <c r="F51" s="146">
        <v>2024</v>
      </c>
      <c r="G51" s="146">
        <v>2025</v>
      </c>
      <c r="H51" s="146">
        <v>2026</v>
      </c>
      <c r="I51" s="146">
        <v>2027</v>
      </c>
      <c r="J51" s="203">
        <v>2028</v>
      </c>
      <c r="K51" s="192">
        <v>2029</v>
      </c>
      <c r="L51" s="146">
        <v>2030</v>
      </c>
      <c r="M51" s="146">
        <v>2031</v>
      </c>
      <c r="N51" s="146">
        <v>2032</v>
      </c>
      <c r="O51" s="146">
        <v>2033</v>
      </c>
      <c r="P51" s="146">
        <v>2034</v>
      </c>
      <c r="Q51" s="146">
        <v>2035</v>
      </c>
      <c r="R51" s="146">
        <v>2036</v>
      </c>
      <c r="S51" s="146">
        <v>2037</v>
      </c>
      <c r="T51" s="146">
        <v>2038</v>
      </c>
      <c r="U51" s="146">
        <v>2039</v>
      </c>
      <c r="V51" s="146">
        <v>2040</v>
      </c>
      <c r="W51" s="146">
        <v>2041</v>
      </c>
      <c r="X51" s="146">
        <v>2042</v>
      </c>
      <c r="Y51" s="146">
        <v>2043</v>
      </c>
      <c r="Z51" s="146">
        <v>2044</v>
      </c>
      <c r="AA51" s="146">
        <v>2045</v>
      </c>
      <c r="AB51" s="146">
        <v>2046</v>
      </c>
      <c r="AC51" s="146">
        <v>2047</v>
      </c>
      <c r="AD51" s="146">
        <v>2048</v>
      </c>
      <c r="AE51" s="146">
        <v>2049</v>
      </c>
      <c r="AF51" s="146">
        <v>2050</v>
      </c>
      <c r="AG51" s="146">
        <v>2051</v>
      </c>
      <c r="AH51" s="146">
        <v>2052</v>
      </c>
      <c r="AI51" s="146">
        <v>2053</v>
      </c>
    </row>
    <row r="52" spans="2:36" ht="17.25" customHeight="1" x14ac:dyDescent="0.25">
      <c r="B52" s="297" t="s">
        <v>69</v>
      </c>
      <c r="C52" s="147" t="s">
        <v>117</v>
      </c>
      <c r="D52" s="185" t="s">
        <v>77</v>
      </c>
      <c r="E52" s="215">
        <v>2000</v>
      </c>
      <c r="F52" s="150"/>
      <c r="G52" s="150"/>
      <c r="H52" s="150"/>
      <c r="I52" s="150"/>
      <c r="J52" s="216">
        <v>800</v>
      </c>
      <c r="K52" s="196"/>
      <c r="L52" s="150"/>
      <c r="M52" s="150"/>
      <c r="N52" s="150"/>
      <c r="O52" s="150">
        <v>800</v>
      </c>
      <c r="P52" s="150"/>
      <c r="Q52" s="150"/>
      <c r="R52" s="150"/>
      <c r="S52" s="150"/>
      <c r="T52" s="150">
        <v>2000</v>
      </c>
      <c r="U52" s="150"/>
      <c r="V52" s="150"/>
      <c r="W52" s="150"/>
      <c r="X52" s="150"/>
      <c r="Y52" s="150">
        <v>800</v>
      </c>
      <c r="Z52" s="148"/>
      <c r="AA52" s="148"/>
      <c r="AB52" s="150"/>
      <c r="AC52" s="151"/>
      <c r="AD52" s="148">
        <v>800</v>
      </c>
      <c r="AE52" s="150"/>
      <c r="AF52" s="148"/>
      <c r="AG52" s="148"/>
      <c r="AH52" s="150"/>
      <c r="AI52" s="148"/>
      <c r="AJ52" s="60">
        <f>SUM(E52:AI52)</f>
        <v>7200</v>
      </c>
    </row>
    <row r="53" spans="2:36" ht="16.5" x14ac:dyDescent="0.25">
      <c r="B53" s="297"/>
      <c r="C53" s="147" t="s">
        <v>95</v>
      </c>
      <c r="D53" s="185" t="s">
        <v>77</v>
      </c>
      <c r="E53" s="215">
        <v>1400</v>
      </c>
      <c r="F53" s="150"/>
      <c r="G53" s="150"/>
      <c r="H53" s="150"/>
      <c r="I53" s="150"/>
      <c r="J53" s="216"/>
      <c r="K53" s="196"/>
      <c r="L53" s="150"/>
      <c r="M53" s="150"/>
      <c r="N53" s="150"/>
      <c r="O53" s="150">
        <v>1400</v>
      </c>
      <c r="P53" s="150"/>
      <c r="Q53" s="150"/>
      <c r="R53" s="150"/>
      <c r="S53" s="150"/>
      <c r="T53" s="150"/>
      <c r="U53" s="150"/>
      <c r="V53" s="150"/>
      <c r="W53" s="150"/>
      <c r="X53" s="150"/>
      <c r="Y53" s="150">
        <v>1400</v>
      </c>
      <c r="Z53" s="148"/>
      <c r="AA53" s="148"/>
      <c r="AB53" s="150"/>
      <c r="AC53" s="151"/>
      <c r="AD53" s="148"/>
      <c r="AE53" s="150"/>
      <c r="AF53" s="148"/>
      <c r="AG53" s="148"/>
      <c r="AH53" s="150"/>
      <c r="AI53" s="148"/>
      <c r="AJ53" s="60">
        <f>SUM(E53:AI53)</f>
        <v>4200</v>
      </c>
    </row>
    <row r="54" spans="2:36" ht="16.5" x14ac:dyDescent="0.25">
      <c r="B54" s="297"/>
      <c r="C54" s="147" t="s">
        <v>123</v>
      </c>
      <c r="D54" s="185" t="s">
        <v>121</v>
      </c>
      <c r="E54" s="215">
        <v>9200</v>
      </c>
      <c r="F54" s="150"/>
      <c r="G54" s="150"/>
      <c r="H54" s="150"/>
      <c r="I54" s="150"/>
      <c r="J54" s="216"/>
      <c r="K54" s="196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48"/>
      <c r="AA54" s="148"/>
      <c r="AB54" s="150"/>
      <c r="AC54" s="151"/>
      <c r="AD54" s="148"/>
      <c r="AE54" s="150"/>
      <c r="AF54" s="148"/>
      <c r="AG54" s="148"/>
      <c r="AH54" s="150"/>
      <c r="AI54" s="148"/>
      <c r="AJ54" s="60"/>
    </row>
    <row r="55" spans="2:36" ht="16.5" x14ac:dyDescent="0.25">
      <c r="B55" s="297"/>
      <c r="C55" s="147" t="s">
        <v>124</v>
      </c>
      <c r="D55" s="185" t="s">
        <v>65</v>
      </c>
      <c r="E55" s="215">
        <v>5500</v>
      </c>
      <c r="F55" s="150"/>
      <c r="G55" s="150"/>
      <c r="H55" s="150"/>
      <c r="I55" s="150"/>
      <c r="J55" s="216"/>
      <c r="K55" s="196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48"/>
      <c r="AA55" s="148"/>
      <c r="AB55" s="150"/>
      <c r="AC55" s="151"/>
      <c r="AD55" s="148"/>
      <c r="AE55" s="150"/>
      <c r="AF55" s="148"/>
      <c r="AG55" s="148"/>
      <c r="AH55" s="150"/>
      <c r="AI55" s="148"/>
    </row>
    <row r="56" spans="2:36" ht="15" customHeight="1" x14ac:dyDescent="0.25">
      <c r="B56" s="297"/>
      <c r="C56" s="147" t="s">
        <v>125</v>
      </c>
      <c r="D56" s="185" t="s">
        <v>66</v>
      </c>
      <c r="E56" s="215">
        <v>1775</v>
      </c>
      <c r="F56" s="150"/>
      <c r="G56" s="150"/>
      <c r="H56" s="150"/>
      <c r="I56" s="150"/>
      <c r="J56" s="216"/>
      <c r="K56" s="196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</row>
    <row r="57" spans="2:36" x14ac:dyDescent="0.25">
      <c r="B57" s="298"/>
      <c r="C57" s="158" t="s">
        <v>99</v>
      </c>
      <c r="D57" s="186" t="s">
        <v>67</v>
      </c>
      <c r="E57" s="229">
        <v>4200</v>
      </c>
      <c r="F57" s="160"/>
      <c r="G57" s="160"/>
      <c r="H57" s="177"/>
      <c r="I57" s="177"/>
      <c r="J57" s="217"/>
      <c r="K57" s="212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</row>
    <row r="58" spans="2:36" ht="16.5" x14ac:dyDescent="0.25">
      <c r="B58" s="178" t="s">
        <v>70</v>
      </c>
      <c r="C58" s="179" t="s">
        <v>100</v>
      </c>
      <c r="D58" s="211" t="s">
        <v>68</v>
      </c>
      <c r="E58" s="218">
        <v>1575</v>
      </c>
      <c r="F58" s="180"/>
      <c r="G58" s="180"/>
      <c r="H58" s="180"/>
      <c r="I58" s="180">
        <v>2050</v>
      </c>
      <c r="J58" s="219"/>
      <c r="K58" s="213"/>
      <c r="L58" s="180">
        <v>2050</v>
      </c>
      <c r="M58" s="180"/>
      <c r="N58" s="180"/>
      <c r="O58" s="180">
        <v>2050</v>
      </c>
      <c r="P58" s="180"/>
      <c r="Q58" s="180"/>
      <c r="R58" s="180">
        <v>2050</v>
      </c>
      <c r="S58" s="180"/>
      <c r="T58" s="180"/>
      <c r="U58" s="180">
        <v>2050</v>
      </c>
      <c r="V58" s="180"/>
      <c r="W58" s="180"/>
      <c r="X58" s="180">
        <v>2050</v>
      </c>
      <c r="Y58" s="180"/>
      <c r="Z58" s="180"/>
      <c r="AA58" s="180">
        <v>2050</v>
      </c>
      <c r="AB58" s="180"/>
      <c r="AC58" s="180"/>
      <c r="AD58" s="180">
        <v>2050</v>
      </c>
      <c r="AE58" s="180"/>
      <c r="AF58" s="180"/>
      <c r="AG58" s="180">
        <v>2050</v>
      </c>
      <c r="AH58" s="180"/>
      <c r="AI58" s="181"/>
    </row>
    <row r="59" spans="2:36" ht="15.75" thickBot="1" x14ac:dyDescent="0.3">
      <c r="C59" s="144"/>
      <c r="E59" s="220">
        <f t="shared" ref="E59:AI59" si="2">SUM(E52:E58)</f>
        <v>25650</v>
      </c>
      <c r="F59" s="221">
        <f t="shared" si="2"/>
        <v>0</v>
      </c>
      <c r="G59" s="221">
        <f t="shared" si="2"/>
        <v>0</v>
      </c>
      <c r="H59" s="221">
        <f t="shared" si="2"/>
        <v>0</v>
      </c>
      <c r="I59" s="221">
        <f t="shared" si="2"/>
        <v>2050</v>
      </c>
      <c r="J59" s="222">
        <f t="shared" si="2"/>
        <v>800</v>
      </c>
      <c r="K59" s="214">
        <f t="shared" si="2"/>
        <v>0</v>
      </c>
      <c r="L59" s="153">
        <f t="shared" si="2"/>
        <v>2050</v>
      </c>
      <c r="M59" s="153">
        <f t="shared" si="2"/>
        <v>0</v>
      </c>
      <c r="N59" s="153">
        <f t="shared" si="2"/>
        <v>0</v>
      </c>
      <c r="O59" s="153">
        <f t="shared" si="2"/>
        <v>4250</v>
      </c>
      <c r="P59" s="153">
        <f t="shared" si="2"/>
        <v>0</v>
      </c>
      <c r="Q59" s="153">
        <f t="shared" si="2"/>
        <v>0</v>
      </c>
      <c r="R59" s="153">
        <f t="shared" si="2"/>
        <v>2050</v>
      </c>
      <c r="S59" s="153">
        <f t="shared" si="2"/>
        <v>0</v>
      </c>
      <c r="T59" s="153">
        <f t="shared" si="2"/>
        <v>2000</v>
      </c>
      <c r="U59" s="153">
        <f t="shared" si="2"/>
        <v>2050</v>
      </c>
      <c r="V59" s="153">
        <f t="shared" si="2"/>
        <v>0</v>
      </c>
      <c r="W59" s="153">
        <f t="shared" si="2"/>
        <v>0</v>
      </c>
      <c r="X59" s="153">
        <f t="shared" si="2"/>
        <v>2050</v>
      </c>
      <c r="Y59" s="153">
        <f t="shared" si="2"/>
        <v>2200</v>
      </c>
      <c r="Z59" s="153">
        <f t="shared" si="2"/>
        <v>0</v>
      </c>
      <c r="AA59" s="153">
        <f t="shared" si="2"/>
        <v>2050</v>
      </c>
      <c r="AB59" s="153">
        <f t="shared" si="2"/>
        <v>0</v>
      </c>
      <c r="AC59" s="153">
        <f t="shared" si="2"/>
        <v>0</v>
      </c>
      <c r="AD59" s="153">
        <f t="shared" si="2"/>
        <v>2850</v>
      </c>
      <c r="AE59" s="153">
        <f t="shared" si="2"/>
        <v>0</v>
      </c>
      <c r="AF59" s="153">
        <f t="shared" si="2"/>
        <v>0</v>
      </c>
      <c r="AG59" s="153">
        <f t="shared" si="2"/>
        <v>2050</v>
      </c>
      <c r="AH59" s="153">
        <f t="shared" si="2"/>
        <v>0</v>
      </c>
      <c r="AI59" s="153">
        <f t="shared" si="2"/>
        <v>0</v>
      </c>
      <c r="AJ59" s="63">
        <f>SUM(E59:AI59)</f>
        <v>52100</v>
      </c>
    </row>
    <row r="60" spans="2:36" x14ac:dyDescent="0.25">
      <c r="C60" s="144"/>
      <c r="E60" s="285">
        <f>SUM(E59:AI59)</f>
        <v>52100</v>
      </c>
      <c r="F60" s="285"/>
      <c r="G60" s="285"/>
      <c r="H60" s="285"/>
      <c r="I60" s="285"/>
      <c r="J60" s="285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</row>
    <row r="61" spans="2:36" ht="15.75" thickBot="1" x14ac:dyDescent="0.3">
      <c r="C61" s="144"/>
      <c r="E61" s="25"/>
      <c r="J61" s="25"/>
    </row>
    <row r="62" spans="2:36" x14ac:dyDescent="0.25">
      <c r="B62" s="347" t="s">
        <v>78</v>
      </c>
      <c r="C62" s="347"/>
      <c r="D62" s="348"/>
      <c r="E62" s="224">
        <f>E47+E59</f>
        <v>40925</v>
      </c>
      <c r="F62" s="225">
        <f t="shared" ref="F62:AI62" si="3">SUM(F47+F59)</f>
        <v>9225</v>
      </c>
      <c r="G62" s="225">
        <f t="shared" si="3"/>
        <v>8250</v>
      </c>
      <c r="H62" s="225">
        <f t="shared" si="3"/>
        <v>8250</v>
      </c>
      <c r="I62" s="225">
        <f t="shared" si="3"/>
        <v>11275</v>
      </c>
      <c r="J62" s="226">
        <f t="shared" si="3"/>
        <v>9050</v>
      </c>
      <c r="K62" s="223">
        <f t="shared" si="3"/>
        <v>1125</v>
      </c>
      <c r="L62" s="154">
        <f t="shared" si="3"/>
        <v>4150</v>
      </c>
      <c r="M62" s="154">
        <f t="shared" si="3"/>
        <v>1125</v>
      </c>
      <c r="N62" s="154">
        <f t="shared" si="3"/>
        <v>1125</v>
      </c>
      <c r="O62" s="154">
        <f t="shared" si="3"/>
        <v>13475</v>
      </c>
      <c r="P62" s="154">
        <f t="shared" si="3"/>
        <v>1125</v>
      </c>
      <c r="Q62" s="154">
        <f t="shared" si="3"/>
        <v>1125</v>
      </c>
      <c r="R62" s="154">
        <f t="shared" si="3"/>
        <v>4150</v>
      </c>
      <c r="S62" s="154">
        <f t="shared" si="3"/>
        <v>1125</v>
      </c>
      <c r="T62" s="154">
        <f t="shared" si="3"/>
        <v>10250</v>
      </c>
      <c r="U62" s="154">
        <f t="shared" si="3"/>
        <v>4150</v>
      </c>
      <c r="V62" s="154">
        <f t="shared" si="3"/>
        <v>1125</v>
      </c>
      <c r="W62" s="154">
        <f t="shared" si="3"/>
        <v>1125</v>
      </c>
      <c r="X62" s="154">
        <f t="shared" si="3"/>
        <v>4150</v>
      </c>
      <c r="Y62" s="154">
        <f t="shared" si="3"/>
        <v>10450</v>
      </c>
      <c r="Z62" s="154">
        <f t="shared" si="3"/>
        <v>1125</v>
      </c>
      <c r="AA62" s="154">
        <f t="shared" si="3"/>
        <v>4150</v>
      </c>
      <c r="AB62" s="154">
        <f t="shared" si="3"/>
        <v>1125</v>
      </c>
      <c r="AC62" s="154">
        <f t="shared" si="3"/>
        <v>1125</v>
      </c>
      <c r="AD62" s="154">
        <f t="shared" si="3"/>
        <v>12075</v>
      </c>
      <c r="AE62" s="154">
        <f t="shared" si="3"/>
        <v>1125</v>
      </c>
      <c r="AF62" s="154">
        <f t="shared" si="3"/>
        <v>1125</v>
      </c>
      <c r="AG62" s="154">
        <f t="shared" si="3"/>
        <v>4150</v>
      </c>
      <c r="AH62" s="154">
        <f t="shared" si="3"/>
        <v>1125</v>
      </c>
      <c r="AI62" s="154">
        <f t="shared" si="3"/>
        <v>13450</v>
      </c>
    </row>
    <row r="63" spans="2:36" x14ac:dyDescent="0.25">
      <c r="B63" s="349" t="s">
        <v>126</v>
      </c>
      <c r="C63" s="349"/>
      <c r="D63" s="350"/>
      <c r="E63" s="227" t="s">
        <v>121</v>
      </c>
      <c r="F63" s="182" t="s">
        <v>121</v>
      </c>
      <c r="G63" s="182" t="s">
        <v>121</v>
      </c>
      <c r="H63" s="182" t="s">
        <v>121</v>
      </c>
      <c r="I63" s="182" t="s">
        <v>121</v>
      </c>
      <c r="J63" s="228" t="s">
        <v>121</v>
      </c>
      <c r="K63" s="183">
        <f>K62+K62*0.2</f>
        <v>1350</v>
      </c>
      <c r="L63" s="183">
        <f t="shared" ref="L63:AI63" si="4">L62+L62*0.2</f>
        <v>4980</v>
      </c>
      <c r="M63" s="183">
        <f t="shared" si="4"/>
        <v>1350</v>
      </c>
      <c r="N63" s="183">
        <f t="shared" si="4"/>
        <v>1350</v>
      </c>
      <c r="O63" s="183">
        <f t="shared" si="4"/>
        <v>16170</v>
      </c>
      <c r="P63" s="183">
        <f t="shared" si="4"/>
        <v>1350</v>
      </c>
      <c r="Q63" s="183">
        <f t="shared" si="4"/>
        <v>1350</v>
      </c>
      <c r="R63" s="183">
        <f t="shared" si="4"/>
        <v>4980</v>
      </c>
      <c r="S63" s="183">
        <f t="shared" si="4"/>
        <v>1350</v>
      </c>
      <c r="T63" s="183">
        <f t="shared" si="4"/>
        <v>12300</v>
      </c>
      <c r="U63" s="183">
        <f t="shared" si="4"/>
        <v>4980</v>
      </c>
      <c r="V63" s="183">
        <f t="shared" si="4"/>
        <v>1350</v>
      </c>
      <c r="W63" s="183">
        <f t="shared" si="4"/>
        <v>1350</v>
      </c>
      <c r="X63" s="183">
        <f t="shared" si="4"/>
        <v>4980</v>
      </c>
      <c r="Y63" s="183">
        <f t="shared" si="4"/>
        <v>12540</v>
      </c>
      <c r="Z63" s="183">
        <f t="shared" si="4"/>
        <v>1350</v>
      </c>
      <c r="AA63" s="183">
        <f t="shared" si="4"/>
        <v>4980</v>
      </c>
      <c r="AB63" s="183">
        <f t="shared" si="4"/>
        <v>1350</v>
      </c>
      <c r="AC63" s="183">
        <f t="shared" si="4"/>
        <v>1350</v>
      </c>
      <c r="AD63" s="183">
        <f t="shared" si="4"/>
        <v>14490</v>
      </c>
      <c r="AE63" s="183">
        <f t="shared" si="4"/>
        <v>1350</v>
      </c>
      <c r="AF63" s="183">
        <f t="shared" si="4"/>
        <v>1350</v>
      </c>
      <c r="AG63" s="183">
        <f t="shared" si="4"/>
        <v>4980</v>
      </c>
      <c r="AH63" s="183">
        <f t="shared" si="4"/>
        <v>1350</v>
      </c>
      <c r="AI63" s="183">
        <f t="shared" si="4"/>
        <v>16140</v>
      </c>
    </row>
    <row r="64" spans="2:36" x14ac:dyDescent="0.25">
      <c r="B64" s="351" t="s">
        <v>129</v>
      </c>
      <c r="C64" s="351"/>
      <c r="D64" s="352"/>
      <c r="E64" s="353">
        <f>SUM(E62:J62)</f>
        <v>86975</v>
      </c>
      <c r="F64" s="354"/>
      <c r="G64" s="354"/>
      <c r="H64" s="354"/>
      <c r="I64" s="354"/>
      <c r="J64" s="355"/>
      <c r="K64" s="356">
        <f>SUM(K63:AI63)</f>
        <v>120420</v>
      </c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7"/>
      <c r="AJ64" s="60">
        <f t="shared" ref="AJ64:AJ65" si="5">SUM(E64:AI64)</f>
        <v>207395</v>
      </c>
    </row>
    <row r="65" spans="2:36" ht="15.75" thickBot="1" x14ac:dyDescent="0.3">
      <c r="B65" s="358" t="s">
        <v>128</v>
      </c>
      <c r="C65" s="358"/>
      <c r="D65" s="359"/>
      <c r="E65" s="360">
        <f>E64*0.2+E64</f>
        <v>104370</v>
      </c>
      <c r="F65" s="361"/>
      <c r="G65" s="361"/>
      <c r="H65" s="361"/>
      <c r="I65" s="361"/>
      <c r="J65" s="362"/>
      <c r="K65" s="363">
        <f>K64*0.2+K64</f>
        <v>144504</v>
      </c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364"/>
      <c r="W65" s="364"/>
      <c r="X65" s="364"/>
      <c r="Y65" s="364"/>
      <c r="Z65" s="364"/>
      <c r="AA65" s="364"/>
      <c r="AB65" s="364"/>
      <c r="AC65" s="364"/>
      <c r="AD65" s="364"/>
      <c r="AE65" s="364"/>
      <c r="AF65" s="364"/>
      <c r="AG65" s="364"/>
      <c r="AH65" s="364"/>
      <c r="AI65" s="365"/>
      <c r="AJ65" s="60">
        <f t="shared" si="5"/>
        <v>248874</v>
      </c>
    </row>
    <row r="66" spans="2:36" x14ac:dyDescent="0.25">
      <c r="B66" s="343" t="s">
        <v>7</v>
      </c>
      <c r="C66" s="343"/>
      <c r="D66" s="343"/>
      <c r="E66" s="168">
        <f>E32+1300</f>
        <v>3725</v>
      </c>
      <c r="F66" s="168">
        <f t="shared" ref="F66:AH66" si="6">F32</f>
        <v>2425</v>
      </c>
      <c r="G66" s="168">
        <f t="shared" si="6"/>
        <v>2425</v>
      </c>
      <c r="H66" s="168">
        <f t="shared" si="6"/>
        <v>2425</v>
      </c>
      <c r="I66" s="168">
        <f t="shared" si="6"/>
        <v>2425</v>
      </c>
      <c r="J66" s="168">
        <f t="shared" si="6"/>
        <v>2425</v>
      </c>
      <c r="K66" s="153">
        <f t="shared" si="6"/>
        <v>1125</v>
      </c>
      <c r="L66" s="153">
        <f t="shared" si="6"/>
        <v>1125</v>
      </c>
      <c r="M66" s="153">
        <f t="shared" si="6"/>
        <v>1125</v>
      </c>
      <c r="N66" s="153">
        <f t="shared" si="6"/>
        <v>1125</v>
      </c>
      <c r="O66" s="153">
        <f t="shared" si="6"/>
        <v>2425</v>
      </c>
      <c r="P66" s="153">
        <f t="shared" si="6"/>
        <v>1125</v>
      </c>
      <c r="Q66" s="153">
        <f t="shared" si="6"/>
        <v>1125</v>
      </c>
      <c r="R66" s="153">
        <f t="shared" si="6"/>
        <v>1125</v>
      </c>
      <c r="S66" s="153">
        <f t="shared" si="6"/>
        <v>1125</v>
      </c>
      <c r="T66" s="153">
        <f t="shared" si="6"/>
        <v>2425</v>
      </c>
      <c r="U66" s="153">
        <f t="shared" si="6"/>
        <v>1125</v>
      </c>
      <c r="V66" s="153">
        <f t="shared" si="6"/>
        <v>1125</v>
      </c>
      <c r="W66" s="153">
        <f t="shared" si="6"/>
        <v>1125</v>
      </c>
      <c r="X66" s="153">
        <f t="shared" si="6"/>
        <v>1125</v>
      </c>
      <c r="Y66" s="153">
        <f t="shared" si="6"/>
        <v>2425</v>
      </c>
      <c r="Z66" s="153">
        <f t="shared" si="6"/>
        <v>1125</v>
      </c>
      <c r="AA66" s="153">
        <f t="shared" si="6"/>
        <v>1125</v>
      </c>
      <c r="AB66" s="153">
        <f t="shared" si="6"/>
        <v>1125</v>
      </c>
      <c r="AC66" s="153">
        <f t="shared" si="6"/>
        <v>1125</v>
      </c>
      <c r="AD66" s="153">
        <f t="shared" si="6"/>
        <v>2425</v>
      </c>
      <c r="AE66" s="153">
        <f t="shared" si="6"/>
        <v>1125</v>
      </c>
      <c r="AF66" s="153">
        <f t="shared" si="6"/>
        <v>1125</v>
      </c>
      <c r="AG66" s="153">
        <f t="shared" si="6"/>
        <v>1125</v>
      </c>
      <c r="AH66" s="153">
        <f t="shared" si="6"/>
        <v>1125</v>
      </c>
      <c r="AI66" s="153">
        <f>AI32+1950</f>
        <v>4375</v>
      </c>
      <c r="AJ66" s="60">
        <f>SUM(E66:AI66)</f>
        <v>52425</v>
      </c>
    </row>
    <row r="67" spans="2:36" x14ac:dyDescent="0.25">
      <c r="B67" s="342" t="s">
        <v>6</v>
      </c>
      <c r="C67" s="342"/>
      <c r="D67" s="342"/>
      <c r="E67" s="155">
        <f>E37+E36+1300</f>
        <v>7600</v>
      </c>
      <c r="F67" s="155">
        <f>F37+F36</f>
        <v>4350</v>
      </c>
      <c r="G67" s="155">
        <f t="shared" ref="G67:AH67" si="7">G37+G36</f>
        <v>3375</v>
      </c>
      <c r="H67" s="155">
        <f t="shared" si="7"/>
        <v>3375</v>
      </c>
      <c r="I67" s="155">
        <f t="shared" si="7"/>
        <v>4350</v>
      </c>
      <c r="J67" s="155">
        <f t="shared" si="7"/>
        <v>3375</v>
      </c>
      <c r="K67" s="155">
        <f t="shared" si="7"/>
        <v>0</v>
      </c>
      <c r="L67" s="155">
        <f t="shared" si="7"/>
        <v>975</v>
      </c>
      <c r="M67" s="155">
        <f t="shared" si="7"/>
        <v>0</v>
      </c>
      <c r="N67" s="155">
        <f t="shared" si="7"/>
        <v>0</v>
      </c>
      <c r="O67" s="155">
        <f t="shared" si="7"/>
        <v>4350</v>
      </c>
      <c r="P67" s="155">
        <f t="shared" si="7"/>
        <v>0</v>
      </c>
      <c r="Q67" s="155">
        <f t="shared" si="7"/>
        <v>0</v>
      </c>
      <c r="R67" s="155">
        <f t="shared" si="7"/>
        <v>975</v>
      </c>
      <c r="S67" s="155">
        <f t="shared" si="7"/>
        <v>0</v>
      </c>
      <c r="T67" s="155">
        <f t="shared" si="7"/>
        <v>3375</v>
      </c>
      <c r="U67" s="155">
        <f t="shared" si="7"/>
        <v>975</v>
      </c>
      <c r="V67" s="155">
        <f t="shared" si="7"/>
        <v>0</v>
      </c>
      <c r="W67" s="155">
        <f t="shared" si="7"/>
        <v>0</v>
      </c>
      <c r="X67" s="155">
        <f t="shared" si="7"/>
        <v>975</v>
      </c>
      <c r="Y67" s="155">
        <f t="shared" si="7"/>
        <v>3375</v>
      </c>
      <c r="Z67" s="155">
        <f t="shared" si="7"/>
        <v>0</v>
      </c>
      <c r="AA67" s="155">
        <f t="shared" si="7"/>
        <v>975</v>
      </c>
      <c r="AB67" s="155">
        <f t="shared" si="7"/>
        <v>0</v>
      </c>
      <c r="AC67" s="155">
        <f t="shared" si="7"/>
        <v>0</v>
      </c>
      <c r="AD67" s="155">
        <f t="shared" si="7"/>
        <v>4350</v>
      </c>
      <c r="AE67" s="155">
        <f t="shared" si="7"/>
        <v>0</v>
      </c>
      <c r="AF67" s="155">
        <f t="shared" si="7"/>
        <v>0</v>
      </c>
      <c r="AG67" s="155">
        <f t="shared" si="7"/>
        <v>975</v>
      </c>
      <c r="AH67" s="155">
        <f t="shared" si="7"/>
        <v>0</v>
      </c>
      <c r="AI67" s="155">
        <f>AI37+AI36+1950</f>
        <v>5325</v>
      </c>
      <c r="AJ67" s="60">
        <f t="shared" ref="AJ67:AJ70" si="8">SUM(E67:AI67)</f>
        <v>53050</v>
      </c>
    </row>
    <row r="68" spans="2:36" x14ac:dyDescent="0.25">
      <c r="B68" s="341" t="s">
        <v>82</v>
      </c>
      <c r="C68" s="341"/>
      <c r="D68" s="341"/>
      <c r="E68" s="156">
        <f>E42+E52+E53+1500</f>
        <v>7350</v>
      </c>
      <c r="F68" s="156">
        <f t="shared" ref="F68:AH68" si="9">F42+F52+F53</f>
        <v>2450</v>
      </c>
      <c r="G68" s="156">
        <f t="shared" si="9"/>
        <v>2450</v>
      </c>
      <c r="H68" s="156">
        <f t="shared" si="9"/>
        <v>2450</v>
      </c>
      <c r="I68" s="156">
        <f t="shared" si="9"/>
        <v>2450</v>
      </c>
      <c r="J68" s="156">
        <f t="shared" si="9"/>
        <v>3250</v>
      </c>
      <c r="K68" s="156">
        <f t="shared" si="9"/>
        <v>0</v>
      </c>
      <c r="L68" s="156">
        <f t="shared" si="9"/>
        <v>0</v>
      </c>
      <c r="M68" s="156">
        <f t="shared" si="9"/>
        <v>0</v>
      </c>
      <c r="N68" s="156">
        <f t="shared" si="9"/>
        <v>0</v>
      </c>
      <c r="O68" s="156">
        <f t="shared" si="9"/>
        <v>4650</v>
      </c>
      <c r="P68" s="156">
        <f t="shared" si="9"/>
        <v>0</v>
      </c>
      <c r="Q68" s="156">
        <f t="shared" si="9"/>
        <v>0</v>
      </c>
      <c r="R68" s="156">
        <f t="shared" si="9"/>
        <v>0</v>
      </c>
      <c r="S68" s="156">
        <f t="shared" si="9"/>
        <v>0</v>
      </c>
      <c r="T68" s="156">
        <f t="shared" si="9"/>
        <v>4450</v>
      </c>
      <c r="U68" s="156">
        <f t="shared" si="9"/>
        <v>0</v>
      </c>
      <c r="V68" s="156">
        <f t="shared" si="9"/>
        <v>0</v>
      </c>
      <c r="W68" s="156">
        <f t="shared" si="9"/>
        <v>0</v>
      </c>
      <c r="X68" s="156">
        <f t="shared" si="9"/>
        <v>0</v>
      </c>
      <c r="Y68" s="156">
        <f t="shared" si="9"/>
        <v>4650</v>
      </c>
      <c r="Z68" s="156">
        <f t="shared" si="9"/>
        <v>0</v>
      </c>
      <c r="AA68" s="156">
        <f t="shared" si="9"/>
        <v>0</v>
      </c>
      <c r="AB68" s="156">
        <f t="shared" si="9"/>
        <v>0</v>
      </c>
      <c r="AC68" s="156">
        <f t="shared" si="9"/>
        <v>0</v>
      </c>
      <c r="AD68" s="156">
        <f t="shared" si="9"/>
        <v>3250</v>
      </c>
      <c r="AE68" s="156">
        <f t="shared" si="9"/>
        <v>0</v>
      </c>
      <c r="AF68" s="156">
        <f t="shared" si="9"/>
        <v>0</v>
      </c>
      <c r="AG68" s="156">
        <f t="shared" si="9"/>
        <v>0</v>
      </c>
      <c r="AH68" s="156">
        <f t="shared" si="9"/>
        <v>0</v>
      </c>
      <c r="AI68" s="156">
        <f>AI42+AI52+AI53+1300</f>
        <v>3750</v>
      </c>
      <c r="AJ68" s="60">
        <f t="shared" si="8"/>
        <v>41150</v>
      </c>
    </row>
    <row r="69" spans="2:36" x14ac:dyDescent="0.25">
      <c r="B69" s="340" t="s">
        <v>122</v>
      </c>
      <c r="C69" s="340"/>
      <c r="D69" s="340"/>
      <c r="E69" s="157">
        <f t="shared" ref="E69:AI69" si="10">SUM(E55:E58)</f>
        <v>13050</v>
      </c>
      <c r="F69" s="157">
        <f t="shared" si="10"/>
        <v>0</v>
      </c>
      <c r="G69" s="157">
        <f t="shared" si="10"/>
        <v>0</v>
      </c>
      <c r="H69" s="157">
        <f t="shared" si="10"/>
        <v>0</v>
      </c>
      <c r="I69" s="157">
        <f t="shared" si="10"/>
        <v>2050</v>
      </c>
      <c r="J69" s="157">
        <f t="shared" si="10"/>
        <v>0</v>
      </c>
      <c r="K69" s="157">
        <f t="shared" si="10"/>
        <v>0</v>
      </c>
      <c r="L69" s="157">
        <f t="shared" si="10"/>
        <v>2050</v>
      </c>
      <c r="M69" s="157">
        <f t="shared" si="10"/>
        <v>0</v>
      </c>
      <c r="N69" s="157">
        <f t="shared" si="10"/>
        <v>0</v>
      </c>
      <c r="O69" s="157">
        <f t="shared" si="10"/>
        <v>2050</v>
      </c>
      <c r="P69" s="157">
        <f t="shared" si="10"/>
        <v>0</v>
      </c>
      <c r="Q69" s="157">
        <f t="shared" si="10"/>
        <v>0</v>
      </c>
      <c r="R69" s="157">
        <f t="shared" si="10"/>
        <v>2050</v>
      </c>
      <c r="S69" s="157">
        <f t="shared" si="10"/>
        <v>0</v>
      </c>
      <c r="T69" s="157">
        <f t="shared" si="10"/>
        <v>0</v>
      </c>
      <c r="U69" s="157">
        <f t="shared" si="10"/>
        <v>2050</v>
      </c>
      <c r="V69" s="157">
        <f t="shared" si="10"/>
        <v>0</v>
      </c>
      <c r="W69" s="157">
        <f t="shared" si="10"/>
        <v>0</v>
      </c>
      <c r="X69" s="157">
        <f t="shared" si="10"/>
        <v>2050</v>
      </c>
      <c r="Y69" s="157">
        <f t="shared" si="10"/>
        <v>0</v>
      </c>
      <c r="Z69" s="157">
        <f t="shared" si="10"/>
        <v>0</v>
      </c>
      <c r="AA69" s="157">
        <f t="shared" si="10"/>
        <v>2050</v>
      </c>
      <c r="AB69" s="157">
        <f t="shared" si="10"/>
        <v>0</v>
      </c>
      <c r="AC69" s="157">
        <f t="shared" si="10"/>
        <v>0</v>
      </c>
      <c r="AD69" s="157">
        <f t="shared" si="10"/>
        <v>2050</v>
      </c>
      <c r="AE69" s="157">
        <f t="shared" si="10"/>
        <v>0</v>
      </c>
      <c r="AF69" s="157">
        <f t="shared" si="10"/>
        <v>0</v>
      </c>
      <c r="AG69" s="157">
        <f t="shared" si="10"/>
        <v>2050</v>
      </c>
      <c r="AH69" s="157">
        <f t="shared" si="10"/>
        <v>0</v>
      </c>
      <c r="AI69" s="157">
        <f t="shared" si="10"/>
        <v>0</v>
      </c>
      <c r="AJ69" s="60">
        <f t="shared" si="8"/>
        <v>31500</v>
      </c>
    </row>
    <row r="70" spans="2:36" x14ac:dyDescent="0.25">
      <c r="C70" s="144"/>
      <c r="E70" s="145">
        <f>SUM(E66:E69)</f>
        <v>31725</v>
      </c>
      <c r="F70" s="145">
        <f t="shared" ref="F70:AI70" si="11">SUM(F66:F69)</f>
        <v>9225</v>
      </c>
      <c r="G70" s="145">
        <f t="shared" si="11"/>
        <v>8250</v>
      </c>
      <c r="H70" s="145">
        <f t="shared" si="11"/>
        <v>8250</v>
      </c>
      <c r="I70" s="145">
        <f t="shared" si="11"/>
        <v>11275</v>
      </c>
      <c r="J70" s="145">
        <f t="shared" si="11"/>
        <v>9050</v>
      </c>
      <c r="K70" s="145">
        <f t="shared" si="11"/>
        <v>1125</v>
      </c>
      <c r="L70" s="145">
        <f t="shared" si="11"/>
        <v>4150</v>
      </c>
      <c r="M70" s="145">
        <f t="shared" si="11"/>
        <v>1125</v>
      </c>
      <c r="N70" s="145">
        <f t="shared" si="11"/>
        <v>1125</v>
      </c>
      <c r="O70" s="145">
        <f t="shared" si="11"/>
        <v>13475</v>
      </c>
      <c r="P70" s="145">
        <f t="shared" si="11"/>
        <v>1125</v>
      </c>
      <c r="Q70" s="145">
        <f t="shared" si="11"/>
        <v>1125</v>
      </c>
      <c r="R70" s="145">
        <f t="shared" si="11"/>
        <v>4150</v>
      </c>
      <c r="S70" s="145">
        <f t="shared" si="11"/>
        <v>1125</v>
      </c>
      <c r="T70" s="145">
        <f t="shared" si="11"/>
        <v>10250</v>
      </c>
      <c r="U70" s="145">
        <f t="shared" si="11"/>
        <v>4150</v>
      </c>
      <c r="V70" s="145">
        <f t="shared" si="11"/>
        <v>1125</v>
      </c>
      <c r="W70" s="145">
        <f t="shared" si="11"/>
        <v>1125</v>
      </c>
      <c r="X70" s="145">
        <f t="shared" si="11"/>
        <v>4150</v>
      </c>
      <c r="Y70" s="145">
        <f t="shared" si="11"/>
        <v>10450</v>
      </c>
      <c r="Z70" s="145">
        <f t="shared" si="11"/>
        <v>1125</v>
      </c>
      <c r="AA70" s="145">
        <f t="shared" si="11"/>
        <v>4150</v>
      </c>
      <c r="AB70" s="145">
        <f t="shared" si="11"/>
        <v>1125</v>
      </c>
      <c r="AC70" s="145">
        <f t="shared" si="11"/>
        <v>1125</v>
      </c>
      <c r="AD70" s="145">
        <f t="shared" si="11"/>
        <v>12075</v>
      </c>
      <c r="AE70" s="145">
        <f t="shared" si="11"/>
        <v>1125</v>
      </c>
      <c r="AF70" s="145">
        <f t="shared" si="11"/>
        <v>1125</v>
      </c>
      <c r="AG70" s="145">
        <f t="shared" si="11"/>
        <v>4150</v>
      </c>
      <c r="AH70" s="145">
        <f t="shared" si="11"/>
        <v>1125</v>
      </c>
      <c r="AI70" s="145">
        <f t="shared" si="11"/>
        <v>13450</v>
      </c>
      <c r="AJ70" s="60">
        <f t="shared" si="8"/>
        <v>178125</v>
      </c>
    </row>
    <row r="72" spans="2:36" x14ac:dyDescent="0.25">
      <c r="B72" s="339" t="s">
        <v>130</v>
      </c>
      <c r="C72" s="339"/>
      <c r="D72" s="339"/>
      <c r="E72" s="230">
        <f>E66+E67+E68</f>
        <v>18675</v>
      </c>
      <c r="F72" s="230">
        <f t="shared" ref="F72:AI72" si="12">F66+F67+F68</f>
        <v>9225</v>
      </c>
      <c r="G72" s="230">
        <f t="shared" si="12"/>
        <v>8250</v>
      </c>
      <c r="H72" s="230">
        <f t="shared" si="12"/>
        <v>8250</v>
      </c>
      <c r="I72" s="230">
        <f t="shared" si="12"/>
        <v>9225</v>
      </c>
      <c r="J72" s="230">
        <f t="shared" si="12"/>
        <v>9050</v>
      </c>
      <c r="K72" s="230">
        <f t="shared" si="12"/>
        <v>1125</v>
      </c>
      <c r="L72" s="230">
        <f t="shared" si="12"/>
        <v>2100</v>
      </c>
      <c r="M72" s="230">
        <f t="shared" si="12"/>
        <v>1125</v>
      </c>
      <c r="N72" s="230">
        <f t="shared" si="12"/>
        <v>1125</v>
      </c>
      <c r="O72" s="230">
        <f t="shared" si="12"/>
        <v>11425</v>
      </c>
      <c r="P72" s="230">
        <f t="shared" si="12"/>
        <v>1125</v>
      </c>
      <c r="Q72" s="230">
        <f t="shared" si="12"/>
        <v>1125</v>
      </c>
      <c r="R72" s="230">
        <f t="shared" si="12"/>
        <v>2100</v>
      </c>
      <c r="S72" s="230">
        <f t="shared" si="12"/>
        <v>1125</v>
      </c>
      <c r="T72" s="230">
        <f t="shared" si="12"/>
        <v>10250</v>
      </c>
      <c r="U72" s="230">
        <f t="shared" si="12"/>
        <v>2100</v>
      </c>
      <c r="V72" s="230">
        <f t="shared" si="12"/>
        <v>1125</v>
      </c>
      <c r="W72" s="230">
        <f t="shared" si="12"/>
        <v>1125</v>
      </c>
      <c r="X72" s="230">
        <f t="shared" si="12"/>
        <v>2100</v>
      </c>
      <c r="Y72" s="230">
        <f t="shared" si="12"/>
        <v>10450</v>
      </c>
      <c r="Z72" s="230">
        <f t="shared" si="12"/>
        <v>1125</v>
      </c>
      <c r="AA72" s="230">
        <f t="shared" si="12"/>
        <v>2100</v>
      </c>
      <c r="AB72" s="230">
        <f t="shared" si="12"/>
        <v>1125</v>
      </c>
      <c r="AC72" s="230">
        <f t="shared" si="12"/>
        <v>1125</v>
      </c>
      <c r="AD72" s="230">
        <f t="shared" si="12"/>
        <v>10025</v>
      </c>
      <c r="AE72" s="230">
        <f t="shared" si="12"/>
        <v>1125</v>
      </c>
      <c r="AF72" s="230">
        <f t="shared" si="12"/>
        <v>1125</v>
      </c>
      <c r="AG72" s="230">
        <f t="shared" si="12"/>
        <v>2100</v>
      </c>
      <c r="AH72" s="230">
        <f t="shared" si="12"/>
        <v>1125</v>
      </c>
      <c r="AI72" s="230">
        <f t="shared" si="12"/>
        <v>13450</v>
      </c>
      <c r="AJ72" s="60">
        <f>SUM(E72:AI72)</f>
        <v>146625</v>
      </c>
    </row>
    <row r="73" spans="2:36" x14ac:dyDescent="0.25">
      <c r="B73" s="339" t="s">
        <v>131</v>
      </c>
      <c r="C73" s="339"/>
      <c r="D73" s="339"/>
      <c r="E73" s="230">
        <f>E72*0.3</f>
        <v>5602.5</v>
      </c>
      <c r="F73" s="230">
        <f t="shared" ref="F73:AI73" si="13">F72*0.3</f>
        <v>2767.5</v>
      </c>
      <c r="G73" s="230">
        <f t="shared" si="13"/>
        <v>2475</v>
      </c>
      <c r="H73" s="230">
        <f t="shared" si="13"/>
        <v>2475</v>
      </c>
      <c r="I73" s="230">
        <f t="shared" si="13"/>
        <v>2767.5</v>
      </c>
      <c r="J73" s="230">
        <f t="shared" si="13"/>
        <v>2715</v>
      </c>
      <c r="K73" s="230">
        <f t="shared" si="13"/>
        <v>337.5</v>
      </c>
      <c r="L73" s="230">
        <f t="shared" si="13"/>
        <v>630</v>
      </c>
      <c r="M73" s="230">
        <f t="shared" si="13"/>
        <v>337.5</v>
      </c>
      <c r="N73" s="230">
        <f t="shared" si="13"/>
        <v>337.5</v>
      </c>
      <c r="O73" s="230">
        <f t="shared" si="13"/>
        <v>3427.5</v>
      </c>
      <c r="P73" s="230">
        <f t="shared" si="13"/>
        <v>337.5</v>
      </c>
      <c r="Q73" s="230">
        <f t="shared" si="13"/>
        <v>337.5</v>
      </c>
      <c r="R73" s="230">
        <f t="shared" si="13"/>
        <v>630</v>
      </c>
      <c r="S73" s="230">
        <f t="shared" si="13"/>
        <v>337.5</v>
      </c>
      <c r="T73" s="230">
        <f t="shared" si="13"/>
        <v>3075</v>
      </c>
      <c r="U73" s="230">
        <f t="shared" si="13"/>
        <v>630</v>
      </c>
      <c r="V73" s="230">
        <f t="shared" si="13"/>
        <v>337.5</v>
      </c>
      <c r="W73" s="230">
        <f t="shared" si="13"/>
        <v>337.5</v>
      </c>
      <c r="X73" s="230">
        <f t="shared" si="13"/>
        <v>630</v>
      </c>
      <c r="Y73" s="230">
        <f t="shared" si="13"/>
        <v>3135</v>
      </c>
      <c r="Z73" s="230">
        <f t="shared" si="13"/>
        <v>337.5</v>
      </c>
      <c r="AA73" s="230">
        <f t="shared" si="13"/>
        <v>630</v>
      </c>
      <c r="AB73" s="230">
        <f t="shared" si="13"/>
        <v>337.5</v>
      </c>
      <c r="AC73" s="230">
        <f t="shared" si="13"/>
        <v>337.5</v>
      </c>
      <c r="AD73" s="230">
        <f t="shared" si="13"/>
        <v>3007.5</v>
      </c>
      <c r="AE73" s="230">
        <f t="shared" si="13"/>
        <v>337.5</v>
      </c>
      <c r="AF73" s="230">
        <f t="shared" si="13"/>
        <v>337.5</v>
      </c>
      <c r="AG73" s="230">
        <f t="shared" si="13"/>
        <v>630</v>
      </c>
      <c r="AH73" s="230">
        <f t="shared" si="13"/>
        <v>337.5</v>
      </c>
      <c r="AI73" s="230">
        <f t="shared" si="13"/>
        <v>4035</v>
      </c>
      <c r="AJ73" s="60">
        <f t="shared" ref="AJ73:AJ74" si="14">SUM(E73:AI73)</f>
        <v>43987.5</v>
      </c>
    </row>
    <row r="74" spans="2:36" x14ac:dyDescent="0.25">
      <c r="B74" s="339" t="s">
        <v>132</v>
      </c>
      <c r="C74" s="339"/>
      <c r="D74" s="339"/>
      <c r="E74" s="230">
        <f>E72*0.7</f>
        <v>13072.5</v>
      </c>
      <c r="F74" s="230">
        <f t="shared" ref="F74:AI74" si="15">F72*0.7</f>
        <v>6457.5</v>
      </c>
      <c r="G74" s="230">
        <f t="shared" si="15"/>
        <v>5775</v>
      </c>
      <c r="H74" s="230">
        <f t="shared" si="15"/>
        <v>5775</v>
      </c>
      <c r="I74" s="230">
        <f t="shared" si="15"/>
        <v>6457.5</v>
      </c>
      <c r="J74" s="230">
        <f t="shared" si="15"/>
        <v>6335</v>
      </c>
      <c r="K74" s="230">
        <f t="shared" si="15"/>
        <v>787.5</v>
      </c>
      <c r="L74" s="230">
        <f t="shared" si="15"/>
        <v>1470</v>
      </c>
      <c r="M74" s="230">
        <f t="shared" si="15"/>
        <v>787.5</v>
      </c>
      <c r="N74" s="230">
        <f t="shared" si="15"/>
        <v>787.5</v>
      </c>
      <c r="O74" s="230">
        <f t="shared" si="15"/>
        <v>7997.4999999999991</v>
      </c>
      <c r="P74" s="230">
        <f t="shared" si="15"/>
        <v>787.5</v>
      </c>
      <c r="Q74" s="230">
        <f t="shared" si="15"/>
        <v>787.5</v>
      </c>
      <c r="R74" s="230">
        <f t="shared" si="15"/>
        <v>1470</v>
      </c>
      <c r="S74" s="230">
        <f t="shared" si="15"/>
        <v>787.5</v>
      </c>
      <c r="T74" s="230">
        <f t="shared" si="15"/>
        <v>7174.9999999999991</v>
      </c>
      <c r="U74" s="230">
        <f t="shared" si="15"/>
        <v>1470</v>
      </c>
      <c r="V74" s="230">
        <f t="shared" si="15"/>
        <v>787.5</v>
      </c>
      <c r="W74" s="230">
        <f t="shared" si="15"/>
        <v>787.5</v>
      </c>
      <c r="X74" s="230">
        <f t="shared" si="15"/>
        <v>1470</v>
      </c>
      <c r="Y74" s="230">
        <f t="shared" si="15"/>
        <v>7314.9999999999991</v>
      </c>
      <c r="Z74" s="230">
        <f t="shared" si="15"/>
        <v>787.5</v>
      </c>
      <c r="AA74" s="230">
        <f t="shared" si="15"/>
        <v>1470</v>
      </c>
      <c r="AB74" s="230">
        <f t="shared" si="15"/>
        <v>787.5</v>
      </c>
      <c r="AC74" s="230">
        <f t="shared" si="15"/>
        <v>787.5</v>
      </c>
      <c r="AD74" s="230">
        <f t="shared" si="15"/>
        <v>7017.5</v>
      </c>
      <c r="AE74" s="230">
        <f t="shared" si="15"/>
        <v>787.5</v>
      </c>
      <c r="AF74" s="230">
        <f t="shared" si="15"/>
        <v>787.5</v>
      </c>
      <c r="AG74" s="230">
        <f t="shared" si="15"/>
        <v>1470</v>
      </c>
      <c r="AH74" s="230">
        <f t="shared" si="15"/>
        <v>787.5</v>
      </c>
      <c r="AI74" s="230">
        <f t="shared" si="15"/>
        <v>9415</v>
      </c>
      <c r="AJ74" s="60">
        <f t="shared" si="14"/>
        <v>102637.5</v>
      </c>
    </row>
    <row r="78" spans="2:36" x14ac:dyDescent="0.25">
      <c r="E78" s="231"/>
    </row>
  </sheetData>
  <mergeCells count="110">
    <mergeCell ref="B72:D72"/>
    <mergeCell ref="B73:D73"/>
    <mergeCell ref="B74:D74"/>
    <mergeCell ref="B69:D69"/>
    <mergeCell ref="B68:D68"/>
    <mergeCell ref="B67:D67"/>
    <mergeCell ref="B66:D66"/>
    <mergeCell ref="F42:F45"/>
    <mergeCell ref="J42:J45"/>
    <mergeCell ref="I42:I45"/>
    <mergeCell ref="H42:H45"/>
    <mergeCell ref="G42:G45"/>
    <mergeCell ref="B62:D62"/>
    <mergeCell ref="B63:D63"/>
    <mergeCell ref="E60:AI60"/>
    <mergeCell ref="B52:B57"/>
    <mergeCell ref="B64:D64"/>
    <mergeCell ref="E64:J64"/>
    <mergeCell ref="K64:AI64"/>
    <mergeCell ref="B65:D65"/>
    <mergeCell ref="E65:J65"/>
    <mergeCell ref="K65:AI65"/>
    <mergeCell ref="B2:C2"/>
    <mergeCell ref="B8:B12"/>
    <mergeCell ref="B20:C20"/>
    <mergeCell ref="D8:D12"/>
    <mergeCell ref="B3:B5"/>
    <mergeCell ref="D3:D5"/>
    <mergeCell ref="B13:B15"/>
    <mergeCell ref="T42:T45"/>
    <mergeCell ref="O42:O45"/>
    <mergeCell ref="B21:B27"/>
    <mergeCell ref="B32:B34"/>
    <mergeCell ref="D32:D34"/>
    <mergeCell ref="E26:AI26"/>
    <mergeCell ref="H32:H34"/>
    <mergeCell ref="N32:N34"/>
    <mergeCell ref="O32:O34"/>
    <mergeCell ref="Y32:Y34"/>
    <mergeCell ref="F32:F34"/>
    <mergeCell ref="E32:E34"/>
    <mergeCell ref="G32:G34"/>
    <mergeCell ref="W32:W34"/>
    <mergeCell ref="X32:X34"/>
    <mergeCell ref="I32:I34"/>
    <mergeCell ref="J32:J34"/>
    <mergeCell ref="K32:K34"/>
    <mergeCell ref="E37:E41"/>
    <mergeCell ref="G37:G41"/>
    <mergeCell ref="T32:T34"/>
    <mergeCell ref="P32:P34"/>
    <mergeCell ref="Q32:Q34"/>
    <mergeCell ref="R32:R34"/>
    <mergeCell ref="S32:S34"/>
    <mergeCell ref="H37:H41"/>
    <mergeCell ref="I37:I41"/>
    <mergeCell ref="J37:J41"/>
    <mergeCell ref="F37:F41"/>
    <mergeCell ref="Q37:Q41"/>
    <mergeCell ref="S37:S41"/>
    <mergeCell ref="T37:T41"/>
    <mergeCell ref="O37:O41"/>
    <mergeCell ref="L32:L34"/>
    <mergeCell ref="M32:M34"/>
    <mergeCell ref="AJ32:AJ34"/>
    <mergeCell ref="AJ37:AJ41"/>
    <mergeCell ref="Y37:Y41"/>
    <mergeCell ref="AD37:AD41"/>
    <mergeCell ref="AI37:AI41"/>
    <mergeCell ref="AE32:AE34"/>
    <mergeCell ref="AF32:AF34"/>
    <mergeCell ref="AG32:AG34"/>
    <mergeCell ref="AH32:AH34"/>
    <mergeCell ref="AI32:AI34"/>
    <mergeCell ref="Z32:Z34"/>
    <mergeCell ref="AA32:AA34"/>
    <mergeCell ref="AJ42:AJ45"/>
    <mergeCell ref="AG37:AG41"/>
    <mergeCell ref="AH37:AH41"/>
    <mergeCell ref="AA37:AA41"/>
    <mergeCell ref="AB37:AB41"/>
    <mergeCell ref="AC37:AC41"/>
    <mergeCell ref="AE37:AE41"/>
    <mergeCell ref="AF37:AF41"/>
    <mergeCell ref="AI42:AI45"/>
    <mergeCell ref="AD42:AD45"/>
    <mergeCell ref="B31:C31"/>
    <mergeCell ref="B51:C51"/>
    <mergeCell ref="AB32:AB34"/>
    <mergeCell ref="AC32:AC34"/>
    <mergeCell ref="AD32:AD34"/>
    <mergeCell ref="Z37:Z41"/>
    <mergeCell ref="E48:AI48"/>
    <mergeCell ref="W37:W41"/>
    <mergeCell ref="X37:X41"/>
    <mergeCell ref="Y42:Y45"/>
    <mergeCell ref="B37:B41"/>
    <mergeCell ref="D37:D41"/>
    <mergeCell ref="B42:B45"/>
    <mergeCell ref="K37:K41"/>
    <mergeCell ref="L37:L41"/>
    <mergeCell ref="E42:E45"/>
    <mergeCell ref="U32:U34"/>
    <mergeCell ref="V32:V34"/>
    <mergeCell ref="M37:M41"/>
    <mergeCell ref="N37:N41"/>
    <mergeCell ref="P37:P41"/>
    <mergeCell ref="U37:U41"/>
    <mergeCell ref="V37:V41"/>
    <mergeCell ref="R37:R41"/>
  </mergeCells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6F40-B60D-481E-90F7-7E6405F457CA}">
  <sheetPr>
    <pageSetUpPr fitToPage="1"/>
  </sheetPr>
  <dimension ref="A3:J33"/>
  <sheetViews>
    <sheetView showGridLines="0" workbookViewId="0">
      <selection activeCell="A3" sqref="A3:I3"/>
    </sheetView>
  </sheetViews>
  <sheetFormatPr baseColWidth="10" defaultRowHeight="15" x14ac:dyDescent="0.25"/>
  <cols>
    <col min="1" max="1" width="17.140625" bestFit="1" customWidth="1"/>
    <col min="2" max="2" width="33.28515625" customWidth="1"/>
    <col min="3" max="3" width="18" customWidth="1"/>
    <col min="4" max="4" width="15.140625" customWidth="1"/>
    <col min="5" max="6" width="17.5703125" customWidth="1"/>
    <col min="7" max="7" width="18.28515625" customWidth="1"/>
    <col min="8" max="8" width="19.7109375" customWidth="1"/>
    <col min="9" max="9" width="18.42578125" customWidth="1"/>
    <col min="10" max="10" width="11.85546875" bestFit="1" customWidth="1"/>
  </cols>
  <sheetData>
    <row r="3" spans="1:10" x14ac:dyDescent="0.25">
      <c r="A3" s="370" t="s">
        <v>151</v>
      </c>
      <c r="B3" s="371"/>
      <c r="C3" s="371"/>
      <c r="D3" s="371"/>
      <c r="E3" s="371"/>
      <c r="F3" s="371"/>
      <c r="G3" s="371"/>
      <c r="H3" s="371"/>
      <c r="I3" s="371"/>
    </row>
    <row r="4" spans="1:10" x14ac:dyDescent="0.25">
      <c r="A4" s="232"/>
      <c r="B4" s="232"/>
      <c r="C4" s="232"/>
      <c r="D4" s="232"/>
      <c r="E4" s="232"/>
      <c r="F4" s="232"/>
    </row>
    <row r="5" spans="1:10" ht="22.5" x14ac:dyDescent="0.25">
      <c r="A5" s="233" t="s">
        <v>133</v>
      </c>
      <c r="B5" s="233" t="s">
        <v>134</v>
      </c>
      <c r="C5" s="233" t="s">
        <v>135</v>
      </c>
      <c r="D5" s="233" t="s">
        <v>136</v>
      </c>
      <c r="E5" s="233" t="s">
        <v>153</v>
      </c>
      <c r="F5" s="233" t="s">
        <v>154</v>
      </c>
      <c r="G5" s="233" t="s">
        <v>155</v>
      </c>
      <c r="H5" s="233" t="s">
        <v>152</v>
      </c>
      <c r="I5" s="233" t="s">
        <v>156</v>
      </c>
    </row>
    <row r="6" spans="1:10" x14ac:dyDescent="0.25">
      <c r="A6" s="376" t="s">
        <v>7</v>
      </c>
      <c r="B6" s="235" t="s">
        <v>11</v>
      </c>
      <c r="C6" s="236">
        <f>Planning!E32</f>
        <v>2425</v>
      </c>
      <c r="D6" s="236">
        <f>C6*0.3</f>
        <v>727.5</v>
      </c>
      <c r="E6" s="236">
        <v>727.5</v>
      </c>
      <c r="F6" s="236">
        <v>0</v>
      </c>
      <c r="G6" s="236">
        <v>0</v>
      </c>
      <c r="H6" s="236">
        <f>C6-E6</f>
        <v>1697.5</v>
      </c>
      <c r="I6" s="236" t="s">
        <v>121</v>
      </c>
    </row>
    <row r="7" spans="1:10" x14ac:dyDescent="0.25">
      <c r="A7" s="378"/>
      <c r="B7" s="235" t="s">
        <v>49</v>
      </c>
      <c r="C7" s="236">
        <v>1300</v>
      </c>
      <c r="D7" s="236">
        <f>C7*0.3</f>
        <v>390</v>
      </c>
      <c r="E7" s="236">
        <v>390</v>
      </c>
      <c r="F7" s="236">
        <v>0</v>
      </c>
      <c r="G7" s="236">
        <v>0</v>
      </c>
      <c r="H7" s="236">
        <f>C7-E7</f>
        <v>910</v>
      </c>
      <c r="I7" s="236" t="s">
        <v>121</v>
      </c>
    </row>
    <row r="8" spans="1:10" x14ac:dyDescent="0.25">
      <c r="A8" s="379" t="s">
        <v>7</v>
      </c>
      <c r="B8" s="380"/>
      <c r="C8" s="238">
        <f>SUM(C6:C7)</f>
        <v>3725</v>
      </c>
      <c r="D8" s="238">
        <f t="shared" ref="D8:D16" si="0">C8*0.3</f>
        <v>1117.5</v>
      </c>
      <c r="E8" s="238">
        <v>1117.5</v>
      </c>
      <c r="F8" s="238">
        <f>SUM(F6:F7)</f>
        <v>0</v>
      </c>
      <c r="G8" s="238">
        <f>SUM(G6:G7)</f>
        <v>0</v>
      </c>
      <c r="H8" s="238">
        <f>SUM(H6:H7)</f>
        <v>2607.5</v>
      </c>
      <c r="I8" s="238" t="s">
        <v>121</v>
      </c>
    </row>
    <row r="9" spans="1:10" ht="22.5" x14ac:dyDescent="0.25">
      <c r="A9" s="376" t="s">
        <v>137</v>
      </c>
      <c r="B9" s="235" t="s">
        <v>49</v>
      </c>
      <c r="C9" s="236">
        <v>1300</v>
      </c>
      <c r="D9" s="236">
        <f t="shared" si="0"/>
        <v>390</v>
      </c>
      <c r="E9" s="236">
        <v>390</v>
      </c>
      <c r="F9" s="236">
        <v>0</v>
      </c>
      <c r="G9" s="236">
        <v>0</v>
      </c>
      <c r="H9" s="258">
        <f>-E9</f>
        <v>-390</v>
      </c>
      <c r="I9" s="236" t="s">
        <v>161</v>
      </c>
    </row>
    <row r="10" spans="1:10" x14ac:dyDescent="0.25">
      <c r="A10" s="377"/>
      <c r="B10" s="235" t="s">
        <v>55</v>
      </c>
      <c r="C10" s="236">
        <f>Planning!E36</f>
        <v>2925</v>
      </c>
      <c r="D10" s="236">
        <f t="shared" si="0"/>
        <v>877.5</v>
      </c>
      <c r="E10" s="236">
        <v>877.5</v>
      </c>
      <c r="F10" s="236">
        <v>0</v>
      </c>
      <c r="G10" s="236">
        <v>0</v>
      </c>
      <c r="H10" s="236">
        <f>C10-D10</f>
        <v>2047.5</v>
      </c>
      <c r="I10" s="236" t="s">
        <v>121</v>
      </c>
      <c r="J10" s="256"/>
    </row>
    <row r="11" spans="1:10" ht="22.5" x14ac:dyDescent="0.25">
      <c r="A11" s="378"/>
      <c r="B11" s="235" t="s">
        <v>57</v>
      </c>
      <c r="C11" s="236">
        <f>Planning!E37</f>
        <v>3375</v>
      </c>
      <c r="D11" s="236">
        <f t="shared" si="0"/>
        <v>1012.5</v>
      </c>
      <c r="E11" s="236">
        <v>1012.5</v>
      </c>
      <c r="F11" s="236">
        <v>0</v>
      </c>
      <c r="G11" s="236">
        <v>0</v>
      </c>
      <c r="H11" s="236">
        <f>C11-E11</f>
        <v>2362.5</v>
      </c>
      <c r="I11" s="236" t="s">
        <v>121</v>
      </c>
    </row>
    <row r="12" spans="1:10" x14ac:dyDescent="0.25">
      <c r="A12" s="366" t="s">
        <v>137</v>
      </c>
      <c r="B12" s="366"/>
      <c r="C12" s="238">
        <f>SUM(C9:C11)</f>
        <v>7600</v>
      </c>
      <c r="D12" s="238">
        <f t="shared" si="0"/>
        <v>2280</v>
      </c>
      <c r="E12" s="238">
        <v>2280</v>
      </c>
      <c r="F12" s="238">
        <v>0</v>
      </c>
      <c r="G12" s="238">
        <v>0</v>
      </c>
      <c r="H12" s="238">
        <f>SUM(H9:H11)</f>
        <v>4020</v>
      </c>
      <c r="I12" s="238" t="s">
        <v>121</v>
      </c>
    </row>
    <row r="13" spans="1:10" ht="30" customHeight="1" x14ac:dyDescent="0.25">
      <c r="A13" s="376" t="s">
        <v>142</v>
      </c>
      <c r="B13" s="235" t="s">
        <v>49</v>
      </c>
      <c r="C13" s="236">
        <v>1500</v>
      </c>
      <c r="D13" s="236">
        <f t="shared" si="0"/>
        <v>450</v>
      </c>
      <c r="E13" s="236">
        <v>450</v>
      </c>
      <c r="F13" s="236">
        <v>0</v>
      </c>
      <c r="G13" s="236">
        <v>0</v>
      </c>
      <c r="H13" s="258">
        <v>-450</v>
      </c>
      <c r="I13" s="236" t="s">
        <v>162</v>
      </c>
    </row>
    <row r="14" spans="1:10" ht="33.75" x14ac:dyDescent="0.25">
      <c r="A14" s="377"/>
      <c r="B14" s="235" t="s">
        <v>119</v>
      </c>
      <c r="C14" s="236">
        <f>Planning!E42</f>
        <v>2450</v>
      </c>
      <c r="D14" s="236">
        <f t="shared" si="0"/>
        <v>735</v>
      </c>
      <c r="E14" s="236">
        <v>735</v>
      </c>
      <c r="F14" s="236">
        <v>0</v>
      </c>
      <c r="G14" s="236">
        <v>0</v>
      </c>
      <c r="H14" s="236">
        <f>C14-E14</f>
        <v>1715</v>
      </c>
      <c r="I14" s="236" t="s">
        <v>121</v>
      </c>
    </row>
    <row r="15" spans="1:10" x14ac:dyDescent="0.25">
      <c r="A15" s="378"/>
      <c r="B15" s="235" t="s">
        <v>138</v>
      </c>
      <c r="C15" s="236">
        <v>3400</v>
      </c>
      <c r="D15" s="236">
        <f t="shared" si="0"/>
        <v>1020</v>
      </c>
      <c r="E15" s="236">
        <v>1020</v>
      </c>
      <c r="F15" s="236">
        <v>0</v>
      </c>
      <c r="G15" s="236">
        <v>0</v>
      </c>
      <c r="H15" s="236">
        <f>C15-D15</f>
        <v>2380</v>
      </c>
      <c r="I15" s="236" t="s">
        <v>121</v>
      </c>
    </row>
    <row r="16" spans="1:10" x14ac:dyDescent="0.25">
      <c r="A16" s="366" t="s">
        <v>142</v>
      </c>
      <c r="B16" s="366"/>
      <c r="C16" s="238">
        <f>SUM(C13:C15)</f>
        <v>7350</v>
      </c>
      <c r="D16" s="238">
        <f t="shared" si="0"/>
        <v>2205</v>
      </c>
      <c r="E16" s="238">
        <v>2205</v>
      </c>
      <c r="F16" s="238">
        <v>0</v>
      </c>
      <c r="G16" s="238">
        <v>0</v>
      </c>
      <c r="H16" s="238">
        <f>SUM(H13:H15)</f>
        <v>3645</v>
      </c>
      <c r="I16" s="238" t="s">
        <v>121</v>
      </c>
    </row>
    <row r="17" spans="1:10" x14ac:dyDescent="0.25">
      <c r="A17" s="367" t="s">
        <v>139</v>
      </c>
      <c r="B17" s="367"/>
      <c r="C17" s="239">
        <f>C8+C12+C16</f>
        <v>18675</v>
      </c>
      <c r="D17" s="239">
        <f>SUM(D8+D12+D16)</f>
        <v>5602.5</v>
      </c>
      <c r="E17" s="239">
        <f t="shared" ref="E17:F17" si="1">E8+E12+E16</f>
        <v>5602.5</v>
      </c>
      <c r="F17" s="239">
        <f t="shared" si="1"/>
        <v>0</v>
      </c>
      <c r="G17" s="239">
        <v>0</v>
      </c>
      <c r="H17" s="239">
        <f>SUM(H16+H12+H8)</f>
        <v>10272.5</v>
      </c>
      <c r="I17" s="239"/>
      <c r="J17" s="256"/>
    </row>
    <row r="18" spans="1:10" x14ac:dyDescent="0.25">
      <c r="A18" s="240"/>
      <c r="B18" s="240"/>
      <c r="C18" s="241"/>
      <c r="D18" s="241"/>
      <c r="E18" s="241"/>
      <c r="F18" s="241"/>
      <c r="G18" s="241"/>
      <c r="H18" s="241"/>
      <c r="I18" s="241"/>
    </row>
    <row r="19" spans="1:10" ht="22.5" x14ac:dyDescent="0.25">
      <c r="A19" s="376" t="s">
        <v>143</v>
      </c>
      <c r="B19" s="235" t="s">
        <v>123</v>
      </c>
      <c r="C19" s="236">
        <v>3200</v>
      </c>
      <c r="D19" s="236">
        <f>E19+F19</f>
        <v>3200</v>
      </c>
      <c r="E19" s="236">
        <v>1600</v>
      </c>
      <c r="F19" s="236">
        <f>C19*0.5</f>
        <v>1600</v>
      </c>
      <c r="G19" s="236">
        <v>0</v>
      </c>
      <c r="H19" s="236">
        <v>0</v>
      </c>
      <c r="I19" s="236">
        <v>0</v>
      </c>
    </row>
    <row r="20" spans="1:10" ht="22.5" x14ac:dyDescent="0.25">
      <c r="A20" s="377"/>
      <c r="B20" s="235" t="s">
        <v>145</v>
      </c>
      <c r="C20" s="236">
        <v>6000</v>
      </c>
      <c r="D20" s="236">
        <f t="shared" ref="D20:D21" si="2">E20+F20</f>
        <v>6000</v>
      </c>
      <c r="E20" s="236">
        <v>6000</v>
      </c>
      <c r="F20" s="236">
        <v>0</v>
      </c>
      <c r="G20" s="236">
        <v>0</v>
      </c>
      <c r="H20" s="236">
        <v>0</v>
      </c>
      <c r="I20" s="236">
        <v>0</v>
      </c>
    </row>
    <row r="21" spans="1:10" ht="38.25" customHeight="1" x14ac:dyDescent="0.25">
      <c r="A21" s="377"/>
      <c r="B21" s="235" t="s">
        <v>124</v>
      </c>
      <c r="C21" s="236">
        <v>5500</v>
      </c>
      <c r="D21" s="236">
        <f t="shared" si="2"/>
        <v>5500</v>
      </c>
      <c r="E21" s="236">
        <v>1650</v>
      </c>
      <c r="F21" s="236">
        <f>C21*0.7</f>
        <v>3849.9999999999995</v>
      </c>
      <c r="G21" s="236">
        <v>0</v>
      </c>
      <c r="H21" s="236">
        <v>0</v>
      </c>
      <c r="I21" s="236">
        <v>0</v>
      </c>
    </row>
    <row r="22" spans="1:10" ht="22.5" x14ac:dyDescent="0.25">
      <c r="A22" s="377"/>
      <c r="B22" s="235" t="s">
        <v>125</v>
      </c>
      <c r="C22" s="236">
        <v>1775</v>
      </c>
      <c r="D22" s="236">
        <v>0</v>
      </c>
      <c r="E22" s="236">
        <v>0</v>
      </c>
      <c r="F22" s="236">
        <v>0</v>
      </c>
      <c r="G22" s="236">
        <v>0</v>
      </c>
      <c r="H22" s="236">
        <v>0</v>
      </c>
      <c r="I22" s="236" t="s">
        <v>163</v>
      </c>
    </row>
    <row r="23" spans="1:10" x14ac:dyDescent="0.25">
      <c r="A23" s="377"/>
      <c r="B23" s="235" t="s">
        <v>99</v>
      </c>
      <c r="C23" s="236">
        <v>4200</v>
      </c>
      <c r="D23" s="236">
        <f>E23+F23+G23</f>
        <v>4200</v>
      </c>
      <c r="E23" s="236">
        <v>0</v>
      </c>
      <c r="F23" s="236">
        <f>C23*0.3</f>
        <v>1260</v>
      </c>
      <c r="G23" s="236">
        <f>C23-F23</f>
        <v>2940</v>
      </c>
      <c r="H23" s="236">
        <v>0</v>
      </c>
      <c r="I23" s="236">
        <v>0</v>
      </c>
    </row>
    <row r="24" spans="1:10" ht="20.45" customHeight="1" x14ac:dyDescent="0.25">
      <c r="A24" s="378"/>
      <c r="B24" s="235" t="s">
        <v>100</v>
      </c>
      <c r="C24" s="236">
        <v>1575</v>
      </c>
      <c r="D24" s="236">
        <f>E24+F24+G24</f>
        <v>1575</v>
      </c>
      <c r="E24" s="236">
        <v>0</v>
      </c>
      <c r="F24" s="236">
        <f>C24*0.3</f>
        <v>472.5</v>
      </c>
      <c r="G24" s="236">
        <f>C24-F24</f>
        <v>1102.5</v>
      </c>
      <c r="H24" s="236">
        <v>0</v>
      </c>
      <c r="I24" s="236">
        <v>0</v>
      </c>
    </row>
    <row r="25" spans="1:10" x14ac:dyDescent="0.25">
      <c r="A25" s="367" t="s">
        <v>144</v>
      </c>
      <c r="B25" s="367"/>
      <c r="C25" s="239">
        <f>SUM(C19:C24)</f>
        <v>22250</v>
      </c>
      <c r="D25" s="239">
        <f>SUM(D19:D24)-D22</f>
        <v>20475</v>
      </c>
      <c r="E25" s="239">
        <f>SUM(E19:E24)-E22</f>
        <v>9250</v>
      </c>
      <c r="F25" s="239">
        <f>SUM(F19:F24)-F22</f>
        <v>7182.5</v>
      </c>
      <c r="G25" s="239">
        <f>SUM(G19:G24)-G22</f>
        <v>4042.5</v>
      </c>
      <c r="H25" s="257">
        <v>0</v>
      </c>
      <c r="I25" s="257">
        <v>0</v>
      </c>
    </row>
    <row r="26" spans="1:10" x14ac:dyDescent="0.25">
      <c r="A26" s="234"/>
      <c r="B26" s="234"/>
      <c r="C26" s="242"/>
      <c r="D26" s="237"/>
      <c r="E26" s="237"/>
      <c r="F26" s="237"/>
    </row>
    <row r="27" spans="1:10" ht="22.5" x14ac:dyDescent="0.25">
      <c r="A27" s="372" t="s">
        <v>140</v>
      </c>
      <c r="B27" s="373"/>
      <c r="C27" s="372" t="s">
        <v>135</v>
      </c>
      <c r="D27" s="373"/>
      <c r="E27" s="243" t="s">
        <v>159</v>
      </c>
      <c r="F27" s="243" t="s">
        <v>159</v>
      </c>
      <c r="G27" s="243" t="s">
        <v>159</v>
      </c>
      <c r="H27" s="243" t="s">
        <v>160</v>
      </c>
      <c r="I27" s="243" t="s">
        <v>141</v>
      </c>
    </row>
    <row r="28" spans="1:10" x14ac:dyDescent="0.25">
      <c r="A28" s="372" t="s">
        <v>157</v>
      </c>
      <c r="B28" s="373"/>
      <c r="C28" s="374">
        <f>C25+C17</f>
        <v>40925</v>
      </c>
      <c r="D28" s="375"/>
      <c r="E28" s="262"/>
      <c r="F28" s="262"/>
      <c r="G28" s="262"/>
      <c r="H28" s="263"/>
      <c r="I28" s="263"/>
    </row>
    <row r="29" spans="1:10" x14ac:dyDescent="0.25">
      <c r="A29" s="372" t="s">
        <v>158</v>
      </c>
      <c r="B29" s="373"/>
      <c r="C29" s="374">
        <f>C25+C17-C9-C13-C22</f>
        <v>36350</v>
      </c>
      <c r="D29" s="375"/>
      <c r="E29" s="244">
        <f>E17+E25</f>
        <v>14852.5</v>
      </c>
      <c r="F29" s="244">
        <f>F25</f>
        <v>7182.5</v>
      </c>
      <c r="G29" s="244">
        <f>G25</f>
        <v>4042.5</v>
      </c>
      <c r="H29" s="244">
        <v>10272.5</v>
      </c>
      <c r="I29" s="244">
        <f>(C29*1.2)-(E29*1.2)-(F29*1.2)-(G29*1.2)-(H29*1.2)</f>
        <v>0</v>
      </c>
    </row>
    <row r="30" spans="1:10" x14ac:dyDescent="0.25">
      <c r="D30" s="256"/>
      <c r="E30" s="256"/>
    </row>
    <row r="31" spans="1:10" x14ac:dyDescent="0.25">
      <c r="A31" s="368" t="s">
        <v>171</v>
      </c>
      <c r="B31" s="369"/>
      <c r="C31" s="264">
        <f>C17</f>
        <v>18675</v>
      </c>
      <c r="D31" s="256"/>
    </row>
    <row r="32" spans="1:10" x14ac:dyDescent="0.25">
      <c r="A32" s="368" t="s">
        <v>170</v>
      </c>
      <c r="B32" s="369"/>
      <c r="C32" s="264">
        <f>C17-C9-C13</f>
        <v>15875</v>
      </c>
      <c r="D32" s="256"/>
    </row>
    <row r="33" spans="1:3" x14ac:dyDescent="0.25">
      <c r="A33" s="368" t="s">
        <v>172</v>
      </c>
      <c r="B33" s="369"/>
      <c r="C33" s="265">
        <f>C31-C32</f>
        <v>2800</v>
      </c>
    </row>
  </sheetData>
  <mergeCells count="19">
    <mergeCell ref="A33:B33"/>
    <mergeCell ref="A3:I3"/>
    <mergeCell ref="A27:B27"/>
    <mergeCell ref="A28:B28"/>
    <mergeCell ref="A29:B29"/>
    <mergeCell ref="C27:D27"/>
    <mergeCell ref="C28:D28"/>
    <mergeCell ref="C29:D29"/>
    <mergeCell ref="A13:A15"/>
    <mergeCell ref="A9:A11"/>
    <mergeCell ref="A6:A7"/>
    <mergeCell ref="A19:A24"/>
    <mergeCell ref="A25:B25"/>
    <mergeCell ref="A8:B8"/>
    <mergeCell ref="A12:B12"/>
    <mergeCell ref="A16:B16"/>
    <mergeCell ref="A17:B17"/>
    <mergeCell ref="A31:B31"/>
    <mergeCell ref="A32:B32"/>
  </mergeCells>
  <phoneticPr fontId="8" type="noConversion"/>
  <pageMargins left="0.7" right="0.7" top="0.75" bottom="0.75" header="0.3" footer="0.3"/>
  <pageSetup paperSize="9" scale="74" orientation="landscape" r:id="rId1"/>
  <ignoredErrors>
    <ignoredError sqref="D8 D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A8CE-1935-418B-8B9F-1D2BAC6DCBBC}">
  <sheetPr>
    <pageSetUpPr fitToPage="1"/>
  </sheetPr>
  <dimension ref="A3:H23"/>
  <sheetViews>
    <sheetView showGridLines="0" workbookViewId="0">
      <selection activeCell="A7" sqref="A7:E7"/>
    </sheetView>
  </sheetViews>
  <sheetFormatPr baseColWidth="10" defaultRowHeight="15" x14ac:dyDescent="0.25"/>
  <cols>
    <col min="1" max="1" width="17.140625" bestFit="1" customWidth="1"/>
    <col min="2" max="2" width="33.28515625" customWidth="1"/>
    <col min="3" max="3" width="18" customWidth="1"/>
    <col min="4" max="4" width="15.140625" customWidth="1"/>
    <col min="5" max="6" width="17.5703125" customWidth="1"/>
    <col min="7" max="7" width="18.42578125" customWidth="1"/>
    <col min="8" max="8" width="11.85546875" bestFit="1" customWidth="1"/>
  </cols>
  <sheetData>
    <row r="3" spans="1:8" x14ac:dyDescent="0.25">
      <c r="A3" s="370" t="s">
        <v>164</v>
      </c>
      <c r="B3" s="371"/>
      <c r="C3" s="371"/>
      <c r="D3" s="371"/>
      <c r="E3" s="371"/>
      <c r="F3" s="371"/>
      <c r="G3" s="371"/>
    </row>
    <row r="4" spans="1:8" x14ac:dyDescent="0.25">
      <c r="A4" s="232"/>
      <c r="B4" s="232"/>
      <c r="C4" s="232"/>
      <c r="D4" s="232"/>
      <c r="E4" s="232"/>
      <c r="F4" s="232"/>
    </row>
    <row r="5" spans="1:8" ht="22.5" x14ac:dyDescent="0.25">
      <c r="A5" s="233" t="s">
        <v>133</v>
      </c>
      <c r="B5" s="233" t="s">
        <v>134</v>
      </c>
      <c r="C5" s="233" t="s">
        <v>135</v>
      </c>
      <c r="D5" s="233" t="s">
        <v>136</v>
      </c>
      <c r="E5" s="233" t="s">
        <v>165</v>
      </c>
      <c r="F5" s="233" t="s">
        <v>173</v>
      </c>
      <c r="G5" s="233" t="s">
        <v>156</v>
      </c>
    </row>
    <row r="6" spans="1:8" x14ac:dyDescent="0.25">
      <c r="A6" s="259" t="s">
        <v>7</v>
      </c>
      <c r="B6" s="235" t="s">
        <v>11</v>
      </c>
      <c r="C6" s="236">
        <f>Planning!E32</f>
        <v>2425</v>
      </c>
      <c r="D6" s="236">
        <v>0</v>
      </c>
      <c r="E6" s="236">
        <f>C6*0.3</f>
        <v>727.5</v>
      </c>
      <c r="F6" s="236">
        <f>C6*0.7</f>
        <v>1697.5</v>
      </c>
      <c r="G6" s="236" t="s">
        <v>121</v>
      </c>
    </row>
    <row r="7" spans="1:8" x14ac:dyDescent="0.25">
      <c r="A7" s="259" t="s">
        <v>7</v>
      </c>
      <c r="B7" s="235" t="s">
        <v>55</v>
      </c>
      <c r="C7" s="236">
        <v>975</v>
      </c>
      <c r="D7" s="236">
        <v>0</v>
      </c>
      <c r="E7" s="236">
        <f>C7*0.3</f>
        <v>292.5</v>
      </c>
      <c r="F7" s="258">
        <f>-E7</f>
        <v>-292.5</v>
      </c>
      <c r="G7" s="258" t="s">
        <v>175</v>
      </c>
    </row>
    <row r="8" spans="1:8" x14ac:dyDescent="0.25">
      <c r="A8" s="379" t="s">
        <v>7</v>
      </c>
      <c r="B8" s="380"/>
      <c r="C8" s="238">
        <f>SUM(C6:C7)</f>
        <v>3400</v>
      </c>
      <c r="D8" s="238">
        <v>0</v>
      </c>
      <c r="E8" s="238">
        <f>E6+E7</f>
        <v>1020</v>
      </c>
      <c r="F8" s="238">
        <f>SUM(F6:F7)</f>
        <v>1405</v>
      </c>
      <c r="G8" s="238" t="s">
        <v>121</v>
      </c>
    </row>
    <row r="9" spans="1:8" ht="22.5" x14ac:dyDescent="0.25">
      <c r="A9" s="261" t="s">
        <v>137</v>
      </c>
      <c r="B9" s="235" t="s">
        <v>57</v>
      </c>
      <c r="C9" s="236">
        <f>Planning!E37</f>
        <v>3375</v>
      </c>
      <c r="D9" s="236">
        <v>0</v>
      </c>
      <c r="E9" s="236">
        <f>C9*0.3</f>
        <v>1012.5</v>
      </c>
      <c r="F9" s="236">
        <f>C9*0.7</f>
        <v>2362.5</v>
      </c>
      <c r="G9" s="236" t="s">
        <v>121</v>
      </c>
    </row>
    <row r="10" spans="1:8" x14ac:dyDescent="0.25">
      <c r="A10" s="366" t="s">
        <v>137</v>
      </c>
      <c r="B10" s="366"/>
      <c r="C10" s="238">
        <f>SUM(C9:C9)</f>
        <v>3375</v>
      </c>
      <c r="D10" s="238">
        <v>0</v>
      </c>
      <c r="E10" s="238">
        <f>E9</f>
        <v>1012.5</v>
      </c>
      <c r="F10" s="238">
        <f>SUM(F9)</f>
        <v>2362.5</v>
      </c>
      <c r="G10" s="238" t="s">
        <v>121</v>
      </c>
    </row>
    <row r="11" spans="1:8" ht="33.75" x14ac:dyDescent="0.25">
      <c r="A11" s="260" t="s">
        <v>142</v>
      </c>
      <c r="B11" s="235" t="s">
        <v>119</v>
      </c>
      <c r="C11" s="236">
        <f>Planning!E42</f>
        <v>2450</v>
      </c>
      <c r="D11" s="236">
        <v>0</v>
      </c>
      <c r="E11" s="236">
        <f>C11*0.3</f>
        <v>735</v>
      </c>
      <c r="F11" s="236">
        <f>C11*0.7</f>
        <v>1715</v>
      </c>
      <c r="G11" s="236" t="s">
        <v>121</v>
      </c>
    </row>
    <row r="12" spans="1:8" x14ac:dyDescent="0.25">
      <c r="A12" s="366" t="s">
        <v>142</v>
      </c>
      <c r="B12" s="366"/>
      <c r="C12" s="238">
        <f>SUM(C11:C11)</f>
        <v>2450</v>
      </c>
      <c r="D12" s="238">
        <v>0</v>
      </c>
      <c r="E12" s="238">
        <f>E11</f>
        <v>735</v>
      </c>
      <c r="F12" s="238">
        <f>SUM(F11)</f>
        <v>1715</v>
      </c>
      <c r="G12" s="238" t="s">
        <v>121</v>
      </c>
    </row>
    <row r="13" spans="1:8" x14ac:dyDescent="0.25">
      <c r="A13" s="367" t="s">
        <v>139</v>
      </c>
      <c r="B13" s="367"/>
      <c r="C13" s="239">
        <f>C8+C10+C12</f>
        <v>9225</v>
      </c>
      <c r="D13" s="239">
        <f>SUM(D8+D10+D12)</f>
        <v>0</v>
      </c>
      <c r="E13" s="239">
        <f>E8+E10+E12</f>
        <v>2767.5</v>
      </c>
      <c r="F13" s="239">
        <f>SUM(F8+F10+F12)</f>
        <v>5482.5</v>
      </c>
      <c r="G13" s="239" t="s">
        <v>121</v>
      </c>
      <c r="H13" s="256"/>
    </row>
    <row r="14" spans="1:8" x14ac:dyDescent="0.25">
      <c r="A14" s="240"/>
      <c r="B14" s="240"/>
      <c r="C14" s="241"/>
      <c r="D14" s="241"/>
      <c r="E14" s="241"/>
      <c r="F14" s="241"/>
      <c r="G14" s="241"/>
    </row>
    <row r="15" spans="1:8" ht="22.5" x14ac:dyDescent="0.25">
      <c r="A15" s="259" t="s">
        <v>143</v>
      </c>
      <c r="B15" s="235" t="s">
        <v>121</v>
      </c>
      <c r="C15" s="236">
        <v>0</v>
      </c>
      <c r="D15" s="236">
        <v>0</v>
      </c>
      <c r="E15" s="236">
        <v>0</v>
      </c>
      <c r="F15" s="236">
        <v>0</v>
      </c>
      <c r="G15" s="236" t="s">
        <v>166</v>
      </c>
    </row>
    <row r="16" spans="1:8" x14ac:dyDescent="0.25">
      <c r="A16" s="367" t="s">
        <v>144</v>
      </c>
      <c r="B16" s="367"/>
      <c r="C16" s="239">
        <f>SUM(C15:C15)</f>
        <v>0</v>
      </c>
      <c r="D16" s="239">
        <v>0</v>
      </c>
      <c r="E16" s="239">
        <v>0</v>
      </c>
      <c r="F16" s="239">
        <v>0</v>
      </c>
      <c r="G16" s="257">
        <v>0</v>
      </c>
    </row>
    <row r="17" spans="1:7" x14ac:dyDescent="0.25">
      <c r="A17" s="234"/>
      <c r="B17" s="234"/>
      <c r="C17" s="242"/>
      <c r="D17" s="237"/>
      <c r="E17" s="237"/>
      <c r="F17" s="237"/>
    </row>
    <row r="18" spans="1:7" x14ac:dyDescent="0.25">
      <c r="A18" s="372" t="s">
        <v>168</v>
      </c>
      <c r="B18" s="373"/>
      <c r="C18" s="372" t="s">
        <v>135</v>
      </c>
      <c r="D18" s="373"/>
      <c r="E18" s="243" t="s">
        <v>159</v>
      </c>
      <c r="F18" s="243" t="s">
        <v>174</v>
      </c>
      <c r="G18" s="243" t="s">
        <v>141</v>
      </c>
    </row>
    <row r="19" spans="1:7" x14ac:dyDescent="0.25">
      <c r="A19" s="372" t="s">
        <v>167</v>
      </c>
      <c r="B19" s="373"/>
      <c r="C19" s="374">
        <f>C16+C13</f>
        <v>9225</v>
      </c>
      <c r="D19" s="375"/>
      <c r="E19" s="262"/>
      <c r="F19" s="262"/>
      <c r="G19" s="263"/>
    </row>
    <row r="20" spans="1:7" x14ac:dyDescent="0.25">
      <c r="A20" s="372" t="s">
        <v>169</v>
      </c>
      <c r="B20" s="373"/>
      <c r="C20" s="374">
        <f>C19</f>
        <v>9225</v>
      </c>
      <c r="D20" s="375"/>
      <c r="E20" s="244">
        <f>E13+E16</f>
        <v>2767.5</v>
      </c>
      <c r="F20" s="244">
        <f>F13</f>
        <v>5482.5</v>
      </c>
      <c r="G20" s="244">
        <f>(C20-E20-F20)*1.2</f>
        <v>1170</v>
      </c>
    </row>
    <row r="21" spans="1:7" x14ac:dyDescent="0.25">
      <c r="D21" s="256"/>
      <c r="E21" s="256"/>
      <c r="F21" s="256"/>
    </row>
    <row r="22" spans="1:7" x14ac:dyDescent="0.25">
      <c r="D22" s="256"/>
    </row>
    <row r="23" spans="1:7" x14ac:dyDescent="0.25">
      <c r="D23" s="256"/>
    </row>
  </sheetData>
  <mergeCells count="12">
    <mergeCell ref="A3:G3"/>
    <mergeCell ref="A8:B8"/>
    <mergeCell ref="A10:B10"/>
    <mergeCell ref="A19:B19"/>
    <mergeCell ref="C19:D19"/>
    <mergeCell ref="A20:B20"/>
    <mergeCell ref="C20:D20"/>
    <mergeCell ref="A12:B12"/>
    <mergeCell ref="A13:B13"/>
    <mergeCell ref="A16:B16"/>
    <mergeCell ref="A18:B18"/>
    <mergeCell ref="C18:D18"/>
  </mergeCells>
  <pageMargins left="0.7" right="0.7" top="0.75" bottom="0.75" header="0.3" footer="0.3"/>
  <pageSetup paperSize="9"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40ED-A675-4548-B5AA-427CD93E21B5}">
  <sheetPr>
    <pageSetUpPr fitToPage="1"/>
  </sheetPr>
  <dimension ref="A11:H30"/>
  <sheetViews>
    <sheetView showGridLines="0" workbookViewId="0">
      <selection sqref="A1:G27"/>
    </sheetView>
  </sheetViews>
  <sheetFormatPr baseColWidth="10" defaultRowHeight="15" x14ac:dyDescent="0.25"/>
  <cols>
    <col min="1" max="1" width="17.140625" bestFit="1" customWidth="1"/>
    <col min="2" max="2" width="33.28515625" customWidth="1"/>
    <col min="3" max="3" width="18" customWidth="1"/>
    <col min="4" max="4" width="15.140625" customWidth="1"/>
    <col min="5" max="6" width="17.5703125" customWidth="1"/>
    <col min="7" max="7" width="20.42578125" customWidth="1"/>
    <col min="8" max="8" width="11.85546875" bestFit="1" customWidth="1"/>
  </cols>
  <sheetData>
    <row r="11" spans="1:7" x14ac:dyDescent="0.25">
      <c r="A11" s="370" t="s">
        <v>176</v>
      </c>
      <c r="B11" s="371"/>
      <c r="C11" s="371"/>
      <c r="D11" s="371"/>
      <c r="E11" s="371"/>
      <c r="F11" s="371"/>
      <c r="G11" s="371"/>
    </row>
    <row r="12" spans="1:7" x14ac:dyDescent="0.25">
      <c r="A12" s="232"/>
      <c r="B12" s="232"/>
      <c r="C12" s="232"/>
      <c r="D12" s="232"/>
      <c r="E12" s="232"/>
      <c r="F12" s="232"/>
    </row>
    <row r="13" spans="1:7" ht="22.5" x14ac:dyDescent="0.25">
      <c r="A13" s="233" t="s">
        <v>133</v>
      </c>
      <c r="B13" s="233" t="s">
        <v>134</v>
      </c>
      <c r="C13" s="233" t="s">
        <v>135</v>
      </c>
      <c r="D13" s="233" t="s">
        <v>136</v>
      </c>
      <c r="E13" s="233" t="s">
        <v>165</v>
      </c>
      <c r="F13" s="233" t="s">
        <v>173</v>
      </c>
      <c r="G13" s="233" t="s">
        <v>156</v>
      </c>
    </row>
    <row r="14" spans="1:7" x14ac:dyDescent="0.25">
      <c r="A14" s="259" t="s">
        <v>7</v>
      </c>
      <c r="B14" s="235" t="s">
        <v>11</v>
      </c>
      <c r="C14" s="236">
        <f>Planning!E32</f>
        <v>2425</v>
      </c>
      <c r="D14" s="236">
        <v>0</v>
      </c>
      <c r="E14" s="236">
        <f>C14*0.3</f>
        <v>727.5</v>
      </c>
      <c r="F14" s="236">
        <f>C14*0.7</f>
        <v>1697.5</v>
      </c>
      <c r="G14" s="236" t="s">
        <v>121</v>
      </c>
    </row>
    <row r="15" spans="1:7" x14ac:dyDescent="0.25">
      <c r="A15" s="379" t="s">
        <v>7</v>
      </c>
      <c r="B15" s="380"/>
      <c r="C15" s="238">
        <f>SUM(C14:C14)</f>
        <v>2425</v>
      </c>
      <c r="D15" s="238">
        <v>0</v>
      </c>
      <c r="E15" s="238">
        <f>SUM(E14)</f>
        <v>727.5</v>
      </c>
      <c r="F15" s="238">
        <f t="shared" ref="F15:F19" si="0">C15*0.7</f>
        <v>1697.5</v>
      </c>
      <c r="G15" s="238" t="s">
        <v>121</v>
      </c>
    </row>
    <row r="16" spans="1:7" ht="22.5" x14ac:dyDescent="0.25">
      <c r="A16" s="261" t="s">
        <v>137</v>
      </c>
      <c r="B16" s="235" t="s">
        <v>57</v>
      </c>
      <c r="C16" s="236">
        <f>Planning!E37</f>
        <v>3375</v>
      </c>
      <c r="D16" s="236">
        <v>0</v>
      </c>
      <c r="E16" s="236">
        <f>C16*0.3</f>
        <v>1012.5</v>
      </c>
      <c r="F16" s="236">
        <f t="shared" si="0"/>
        <v>2362.5</v>
      </c>
      <c r="G16" s="236" t="s">
        <v>121</v>
      </c>
    </row>
    <row r="17" spans="1:8" x14ac:dyDescent="0.25">
      <c r="A17" s="366" t="s">
        <v>137</v>
      </c>
      <c r="B17" s="366"/>
      <c r="C17" s="238">
        <f>SUM(C16:C16)</f>
        <v>3375</v>
      </c>
      <c r="D17" s="238">
        <v>0</v>
      </c>
      <c r="E17" s="238">
        <f>E16</f>
        <v>1012.5</v>
      </c>
      <c r="F17" s="238">
        <f t="shared" si="0"/>
        <v>2362.5</v>
      </c>
      <c r="G17" s="238" t="s">
        <v>121</v>
      </c>
    </row>
    <row r="18" spans="1:8" ht="33.75" x14ac:dyDescent="0.25">
      <c r="A18" s="260" t="s">
        <v>142</v>
      </c>
      <c r="B18" s="235" t="s">
        <v>119</v>
      </c>
      <c r="C18" s="236">
        <f>Planning!E42</f>
        <v>2450</v>
      </c>
      <c r="D18" s="236">
        <v>0</v>
      </c>
      <c r="E18" s="236">
        <f>C18*0.3</f>
        <v>735</v>
      </c>
      <c r="F18" s="236">
        <f t="shared" si="0"/>
        <v>1715</v>
      </c>
      <c r="G18" s="236" t="s">
        <v>121</v>
      </c>
    </row>
    <row r="19" spans="1:8" x14ac:dyDescent="0.25">
      <c r="A19" s="366" t="s">
        <v>142</v>
      </c>
      <c r="B19" s="366"/>
      <c r="C19" s="238">
        <f>SUM(C18:C18)</f>
        <v>2450</v>
      </c>
      <c r="D19" s="238">
        <v>0</v>
      </c>
      <c r="E19" s="238">
        <f>E18</f>
        <v>735</v>
      </c>
      <c r="F19" s="238">
        <f t="shared" si="0"/>
        <v>1715</v>
      </c>
      <c r="G19" s="238" t="s">
        <v>121</v>
      </c>
    </row>
    <row r="20" spans="1:8" x14ac:dyDescent="0.25">
      <c r="A20" s="367" t="s">
        <v>139</v>
      </c>
      <c r="B20" s="367"/>
      <c r="C20" s="239">
        <f>C15+C17+C19</f>
        <v>8250</v>
      </c>
      <c r="D20" s="239">
        <f>SUM(D15+D17+D19)</f>
        <v>0</v>
      </c>
      <c r="E20" s="239">
        <f>E15+E17+E19</f>
        <v>2475</v>
      </c>
      <c r="F20" s="239">
        <f>F15+F17+F19</f>
        <v>5775</v>
      </c>
      <c r="G20" s="239" t="s">
        <v>121</v>
      </c>
      <c r="H20" s="256"/>
    </row>
    <row r="21" spans="1:8" x14ac:dyDescent="0.25">
      <c r="A21" s="240"/>
      <c r="B21" s="240"/>
      <c r="C21" s="241"/>
      <c r="D21" s="241"/>
      <c r="E21" s="241"/>
      <c r="F21" s="241"/>
      <c r="G21" s="241"/>
    </row>
    <row r="22" spans="1:8" ht="22.5" x14ac:dyDescent="0.25">
      <c r="A22" s="259" t="s">
        <v>143</v>
      </c>
      <c r="B22" s="235" t="s">
        <v>121</v>
      </c>
      <c r="C22" s="236">
        <v>0</v>
      </c>
      <c r="D22" s="236">
        <v>0</v>
      </c>
      <c r="E22" s="236">
        <v>0</v>
      </c>
      <c r="F22" s="266">
        <v>0</v>
      </c>
      <c r="G22" s="236" t="s">
        <v>177</v>
      </c>
    </row>
    <row r="23" spans="1:8" x14ac:dyDescent="0.25">
      <c r="A23" s="367" t="s">
        <v>144</v>
      </c>
      <c r="B23" s="367"/>
      <c r="C23" s="239">
        <f>SUM(C22:C22)</f>
        <v>0</v>
      </c>
      <c r="D23" s="239">
        <v>0</v>
      </c>
      <c r="E23" s="239">
        <v>0</v>
      </c>
      <c r="F23" s="267">
        <v>0</v>
      </c>
      <c r="G23" s="257">
        <v>0</v>
      </c>
    </row>
    <row r="24" spans="1:8" x14ac:dyDescent="0.25">
      <c r="A24" s="234"/>
      <c r="B24" s="234"/>
      <c r="C24" s="242"/>
      <c r="D24" s="237"/>
      <c r="E24" s="237"/>
      <c r="F24" s="237"/>
    </row>
    <row r="25" spans="1:8" x14ac:dyDescent="0.25">
      <c r="A25" s="372" t="s">
        <v>178</v>
      </c>
      <c r="B25" s="373"/>
      <c r="C25" s="372" t="s">
        <v>135</v>
      </c>
      <c r="D25" s="373"/>
      <c r="E25" s="243" t="s">
        <v>159</v>
      </c>
      <c r="F25" s="243" t="s">
        <v>181</v>
      </c>
      <c r="G25" s="243" t="s">
        <v>141</v>
      </c>
    </row>
    <row r="26" spans="1:8" x14ac:dyDescent="0.25">
      <c r="A26" s="372" t="s">
        <v>179</v>
      </c>
      <c r="B26" s="373"/>
      <c r="C26" s="374">
        <f>C23+C20</f>
        <v>8250</v>
      </c>
      <c r="D26" s="375"/>
      <c r="E26" s="262"/>
      <c r="F26" s="262"/>
      <c r="G26" s="263"/>
    </row>
    <row r="27" spans="1:8" x14ac:dyDescent="0.25">
      <c r="A27" s="372" t="s">
        <v>180</v>
      </c>
      <c r="B27" s="373"/>
      <c r="C27" s="374">
        <f>C26</f>
        <v>8250</v>
      </c>
      <c r="D27" s="375"/>
      <c r="E27" s="244">
        <f>E20+E23</f>
        <v>2475</v>
      </c>
      <c r="F27" s="244">
        <f>F20</f>
        <v>5775</v>
      </c>
      <c r="G27" s="244">
        <f>(C27-E27-F27)*1.2</f>
        <v>0</v>
      </c>
    </row>
    <row r="28" spans="1:8" x14ac:dyDescent="0.25">
      <c r="D28" s="256"/>
      <c r="E28" s="256"/>
      <c r="F28" s="256"/>
    </row>
    <row r="29" spans="1:8" x14ac:dyDescent="0.25">
      <c r="D29" s="256"/>
    </row>
    <row r="30" spans="1:8" x14ac:dyDescent="0.25">
      <c r="D30" s="256"/>
    </row>
  </sheetData>
  <mergeCells count="12">
    <mergeCell ref="A23:B23"/>
    <mergeCell ref="A11:G11"/>
    <mergeCell ref="A15:B15"/>
    <mergeCell ref="A17:B17"/>
    <mergeCell ref="A19:B19"/>
    <mergeCell ref="A20:B20"/>
    <mergeCell ref="A25:B25"/>
    <mergeCell ref="C25:D25"/>
    <mergeCell ref="A26:B26"/>
    <mergeCell ref="C26:D26"/>
    <mergeCell ref="A27:B27"/>
    <mergeCell ref="C27:D27"/>
  </mergeCells>
  <pageMargins left="0.7" right="0.7" top="0.75" bottom="0.75" header="0.3" footer="0.3"/>
  <pageSetup paperSize="9" scale="9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0E83-1E88-4291-9686-95342592998B}">
  <sheetPr>
    <pageSetUpPr fitToPage="1"/>
  </sheetPr>
  <dimension ref="A11:F27"/>
  <sheetViews>
    <sheetView showGridLines="0" tabSelected="1" workbookViewId="0">
      <selection activeCell="F29" sqref="A1:F29"/>
    </sheetView>
  </sheetViews>
  <sheetFormatPr baseColWidth="10" defaultRowHeight="15" x14ac:dyDescent="0.25"/>
  <cols>
    <col min="1" max="1" width="17.7109375" customWidth="1"/>
    <col min="2" max="2" width="26.85546875" customWidth="1"/>
    <col min="3" max="3" width="18.85546875" customWidth="1"/>
    <col min="5" max="5" width="17.5703125" customWidth="1"/>
    <col min="6" max="6" width="19.7109375" customWidth="1"/>
  </cols>
  <sheetData>
    <row r="11" spans="1:6" x14ac:dyDescent="0.25">
      <c r="A11" s="370" t="s">
        <v>182</v>
      </c>
      <c r="B11" s="371"/>
      <c r="C11" s="371"/>
      <c r="D11" s="371"/>
      <c r="E11" s="371"/>
      <c r="F11" s="371"/>
    </row>
    <row r="12" spans="1:6" x14ac:dyDescent="0.25">
      <c r="A12" s="232"/>
      <c r="B12" s="232"/>
      <c r="C12" s="232"/>
      <c r="D12" s="232"/>
      <c r="E12" s="232"/>
    </row>
    <row r="13" spans="1:6" x14ac:dyDescent="0.25">
      <c r="A13" s="233" t="s">
        <v>133</v>
      </c>
      <c r="B13" s="233" t="s">
        <v>134</v>
      </c>
      <c r="C13" s="233" t="s">
        <v>135</v>
      </c>
      <c r="D13" s="233" t="s">
        <v>136</v>
      </c>
      <c r="E13" s="233" t="s">
        <v>165</v>
      </c>
      <c r="F13" s="233" t="s">
        <v>156</v>
      </c>
    </row>
    <row r="14" spans="1:6" x14ac:dyDescent="0.25">
      <c r="A14" s="259" t="s">
        <v>7</v>
      </c>
      <c r="B14" s="235" t="s">
        <v>11</v>
      </c>
      <c r="C14" s="236">
        <f>Planning!E32</f>
        <v>2425</v>
      </c>
      <c r="D14" s="236">
        <v>0</v>
      </c>
      <c r="E14" s="236">
        <f>C14*0.3</f>
        <v>727.5</v>
      </c>
      <c r="F14" s="236" t="s">
        <v>121</v>
      </c>
    </row>
    <row r="15" spans="1:6" x14ac:dyDescent="0.25">
      <c r="A15" s="379" t="s">
        <v>7</v>
      </c>
      <c r="B15" s="380"/>
      <c r="C15" s="238">
        <f>SUM(C14:C14)</f>
        <v>2425</v>
      </c>
      <c r="D15" s="238">
        <v>0</v>
      </c>
      <c r="E15" s="238">
        <f>SUM(E14)</f>
        <v>727.5</v>
      </c>
      <c r="F15" s="238" t="s">
        <v>121</v>
      </c>
    </row>
    <row r="16" spans="1:6" ht="22.5" x14ac:dyDescent="0.25">
      <c r="A16" s="261" t="s">
        <v>137</v>
      </c>
      <c r="B16" s="235" t="s">
        <v>57</v>
      </c>
      <c r="C16" s="236">
        <f>Planning!E37</f>
        <v>3375</v>
      </c>
      <c r="D16" s="236">
        <v>0</v>
      </c>
      <c r="E16" s="236">
        <f>C16*0.3</f>
        <v>1012.5</v>
      </c>
      <c r="F16" s="236" t="s">
        <v>121</v>
      </c>
    </row>
    <row r="17" spans="1:6" x14ac:dyDescent="0.25">
      <c r="A17" s="366" t="s">
        <v>137</v>
      </c>
      <c r="B17" s="366"/>
      <c r="C17" s="238">
        <f>SUM(C16:C16)</f>
        <v>3375</v>
      </c>
      <c r="D17" s="238">
        <v>0</v>
      </c>
      <c r="E17" s="238">
        <f>E16</f>
        <v>1012.5</v>
      </c>
      <c r="F17" s="238" t="s">
        <v>121</v>
      </c>
    </row>
    <row r="18" spans="1:6" ht="45" x14ac:dyDescent="0.25">
      <c r="A18" s="260" t="s">
        <v>142</v>
      </c>
      <c r="B18" s="235" t="s">
        <v>119</v>
      </c>
      <c r="C18" s="236">
        <f>Planning!E42</f>
        <v>2450</v>
      </c>
      <c r="D18" s="236">
        <v>0</v>
      </c>
      <c r="E18" s="236">
        <f>C18*0.3</f>
        <v>735</v>
      </c>
      <c r="F18" s="236" t="s">
        <v>121</v>
      </c>
    </row>
    <row r="19" spans="1:6" x14ac:dyDescent="0.25">
      <c r="A19" s="366" t="s">
        <v>142</v>
      </c>
      <c r="B19" s="366"/>
      <c r="C19" s="238">
        <f>SUM(C18:C18)</f>
        <v>2450</v>
      </c>
      <c r="D19" s="238">
        <v>0</v>
      </c>
      <c r="E19" s="238">
        <f>E18</f>
        <v>735</v>
      </c>
      <c r="F19" s="238" t="s">
        <v>121</v>
      </c>
    </row>
    <row r="20" spans="1:6" x14ac:dyDescent="0.25">
      <c r="A20" s="367" t="s">
        <v>139</v>
      </c>
      <c r="B20" s="367"/>
      <c r="C20" s="239">
        <f>C15+C17+C19</f>
        <v>8250</v>
      </c>
      <c r="D20" s="239">
        <f>SUM(D15+D17+D19)</f>
        <v>0</v>
      </c>
      <c r="E20" s="239">
        <f>E15+E17+E19</f>
        <v>2475</v>
      </c>
      <c r="F20" s="239" t="s">
        <v>121</v>
      </c>
    </row>
    <row r="21" spans="1:6" x14ac:dyDescent="0.25">
      <c r="A21" s="240"/>
      <c r="B21" s="240"/>
      <c r="C21" s="241"/>
      <c r="D21" s="241"/>
      <c r="E21" s="241"/>
      <c r="F21" s="241"/>
    </row>
    <row r="22" spans="1:6" ht="22.5" x14ac:dyDescent="0.25">
      <c r="A22" s="259" t="s">
        <v>143</v>
      </c>
      <c r="B22" s="235" t="s">
        <v>121</v>
      </c>
      <c r="C22" s="236">
        <v>0</v>
      </c>
      <c r="D22" s="236">
        <v>0</v>
      </c>
      <c r="E22" s="236">
        <v>0</v>
      </c>
      <c r="F22" s="236" t="s">
        <v>177</v>
      </c>
    </row>
    <row r="23" spans="1:6" x14ac:dyDescent="0.25">
      <c r="A23" s="367" t="s">
        <v>144</v>
      </c>
      <c r="B23" s="367"/>
      <c r="C23" s="239">
        <f>SUM(C22:C22)</f>
        <v>0</v>
      </c>
      <c r="D23" s="239">
        <v>0</v>
      </c>
      <c r="E23" s="239">
        <v>0</v>
      </c>
      <c r="F23" s="257">
        <v>0</v>
      </c>
    </row>
    <row r="24" spans="1:6" x14ac:dyDescent="0.25">
      <c r="A24" s="234"/>
      <c r="B24" s="234"/>
      <c r="C24" s="242"/>
      <c r="D24" s="237"/>
      <c r="E24" s="237"/>
    </row>
    <row r="25" spans="1:6" x14ac:dyDescent="0.25">
      <c r="A25" s="372" t="s">
        <v>183</v>
      </c>
      <c r="B25" s="373"/>
      <c r="C25" s="372" t="s">
        <v>135</v>
      </c>
      <c r="D25" s="373"/>
      <c r="E25" s="243" t="s">
        <v>181</v>
      </c>
      <c r="F25" s="243" t="s">
        <v>141</v>
      </c>
    </row>
    <row r="26" spans="1:6" x14ac:dyDescent="0.25">
      <c r="A26" s="372" t="s">
        <v>184</v>
      </c>
      <c r="B26" s="373"/>
      <c r="C26" s="374">
        <f>C23+C20</f>
        <v>8250</v>
      </c>
      <c r="D26" s="375"/>
      <c r="E26" s="262"/>
      <c r="F26" s="263"/>
    </row>
    <row r="27" spans="1:6" x14ac:dyDescent="0.25">
      <c r="A27" s="372" t="s">
        <v>185</v>
      </c>
      <c r="B27" s="373"/>
      <c r="C27" s="374">
        <f>C26</f>
        <v>8250</v>
      </c>
      <c r="D27" s="375"/>
      <c r="E27" s="244">
        <f>E20+E23</f>
        <v>2475</v>
      </c>
      <c r="F27" s="244">
        <f>(C27-E27)*1.2</f>
        <v>6930</v>
      </c>
    </row>
  </sheetData>
  <mergeCells count="12">
    <mergeCell ref="A25:B25"/>
    <mergeCell ref="C25:D25"/>
    <mergeCell ref="A26:B26"/>
    <mergeCell ref="C26:D26"/>
    <mergeCell ref="A27:B27"/>
    <mergeCell ref="C27:D27"/>
    <mergeCell ref="A23:B23"/>
    <mergeCell ref="A11:F11"/>
    <mergeCell ref="A15:B15"/>
    <mergeCell ref="A17:B17"/>
    <mergeCell ref="A19:B19"/>
    <mergeCell ref="A20:B20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BFFF-17D2-429B-B088-7B7F0377DD91}">
  <dimension ref="A2:N30"/>
  <sheetViews>
    <sheetView topLeftCell="A5" zoomScale="110" zoomScaleNormal="110" workbookViewId="0">
      <selection activeCell="Q20" sqref="Q20"/>
    </sheetView>
  </sheetViews>
  <sheetFormatPr baseColWidth="10" defaultRowHeight="15" x14ac:dyDescent="0.25"/>
  <cols>
    <col min="1" max="1" width="17.140625" customWidth="1"/>
    <col min="2" max="2" width="19.85546875" customWidth="1"/>
    <col min="3" max="3" width="8.7109375" customWidth="1"/>
  </cols>
  <sheetData>
    <row r="2" spans="1:14" ht="16.5" x14ac:dyDescent="0.25">
      <c r="D2" s="152" t="s">
        <v>105</v>
      </c>
      <c r="E2" s="152" t="s">
        <v>106</v>
      </c>
      <c r="F2" s="152" t="s">
        <v>17</v>
      </c>
      <c r="G2" s="152" t="s">
        <v>18</v>
      </c>
      <c r="H2" s="152" t="s">
        <v>19</v>
      </c>
      <c r="I2" s="152" t="s">
        <v>20</v>
      </c>
      <c r="J2" s="152" t="s">
        <v>21</v>
      </c>
      <c r="K2" s="152" t="s">
        <v>22</v>
      </c>
      <c r="L2" s="152" t="s">
        <v>23</v>
      </c>
      <c r="M2" s="152" t="s">
        <v>24</v>
      </c>
      <c r="N2" s="152" t="s">
        <v>25</v>
      </c>
    </row>
    <row r="3" spans="1:14" ht="16.5" x14ac:dyDescent="0.25">
      <c r="A3" s="381" t="s">
        <v>59</v>
      </c>
      <c r="B3" s="381"/>
      <c r="C3" s="146" t="s">
        <v>60</v>
      </c>
      <c r="D3" s="146">
        <v>2023</v>
      </c>
      <c r="E3" s="146">
        <v>2024</v>
      </c>
      <c r="F3" s="146">
        <v>2025</v>
      </c>
      <c r="G3" s="146">
        <v>2026</v>
      </c>
      <c r="H3" s="146">
        <v>2027</v>
      </c>
      <c r="I3" s="146">
        <v>2028</v>
      </c>
      <c r="J3" s="146">
        <v>2029</v>
      </c>
      <c r="K3" s="146">
        <v>2030</v>
      </c>
      <c r="L3" s="146">
        <v>2031</v>
      </c>
      <c r="M3" s="146">
        <v>2032</v>
      </c>
      <c r="N3" s="146">
        <v>2033</v>
      </c>
    </row>
    <row r="4" spans="1:14" ht="24.75" x14ac:dyDescent="0.25">
      <c r="A4" s="297" t="s">
        <v>69</v>
      </c>
      <c r="B4" s="147" t="s">
        <v>117</v>
      </c>
      <c r="C4" s="147" t="s">
        <v>77</v>
      </c>
      <c r="D4" s="245" t="s">
        <v>146</v>
      </c>
      <c r="E4" s="150"/>
      <c r="F4" s="150"/>
      <c r="G4" s="150"/>
      <c r="H4" s="150"/>
      <c r="I4" s="246" t="s">
        <v>148</v>
      </c>
      <c r="J4" s="150"/>
      <c r="K4" s="150"/>
      <c r="L4" s="150"/>
      <c r="M4" s="150"/>
      <c r="N4" s="246" t="s">
        <v>148</v>
      </c>
    </row>
    <row r="5" spans="1:14" ht="24.75" x14ac:dyDescent="0.25">
      <c r="A5" s="297"/>
      <c r="B5" s="147" t="s">
        <v>95</v>
      </c>
      <c r="C5" s="147" t="s">
        <v>77</v>
      </c>
      <c r="D5" s="245" t="s">
        <v>146</v>
      </c>
      <c r="E5" s="150"/>
      <c r="F5" s="150"/>
      <c r="G5" s="150"/>
      <c r="H5" s="150"/>
      <c r="I5" s="150"/>
      <c r="J5" s="150"/>
      <c r="K5" s="150"/>
      <c r="L5" s="150"/>
      <c r="M5" s="150"/>
      <c r="N5" s="246" t="s">
        <v>148</v>
      </c>
    </row>
    <row r="6" spans="1:14" ht="24.75" x14ac:dyDescent="0.25">
      <c r="A6" s="297"/>
      <c r="B6" s="147" t="s">
        <v>123</v>
      </c>
      <c r="C6" s="147" t="s">
        <v>121</v>
      </c>
      <c r="D6" s="245" t="s">
        <v>146</v>
      </c>
      <c r="E6" s="150"/>
      <c r="F6" s="150"/>
      <c r="G6" s="150"/>
      <c r="H6" s="150"/>
      <c r="I6" s="150"/>
      <c r="J6" s="150"/>
      <c r="K6" s="150"/>
      <c r="L6" s="150"/>
      <c r="M6" s="150"/>
      <c r="N6" s="150"/>
    </row>
    <row r="7" spans="1:14" ht="24.75" x14ac:dyDescent="0.25">
      <c r="A7" s="297"/>
      <c r="B7" s="147" t="s">
        <v>124</v>
      </c>
      <c r="C7" s="147" t="s">
        <v>65</v>
      </c>
      <c r="D7" s="245" t="s">
        <v>146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</row>
    <row r="8" spans="1:14" ht="33" x14ac:dyDescent="0.25">
      <c r="A8" s="297"/>
      <c r="B8" s="147" t="s">
        <v>125</v>
      </c>
      <c r="C8" s="147" t="s">
        <v>66</v>
      </c>
      <c r="D8" s="247" t="s">
        <v>147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</row>
    <row r="9" spans="1:14" ht="17.25" thickBot="1" x14ac:dyDescent="0.3">
      <c r="A9" s="298"/>
      <c r="B9" s="158" t="s">
        <v>99</v>
      </c>
      <c r="C9" s="158" t="s">
        <v>67</v>
      </c>
      <c r="D9" s="248" t="s">
        <v>146</v>
      </c>
      <c r="E9" s="160"/>
      <c r="F9" s="160"/>
      <c r="G9" s="177"/>
      <c r="H9" s="177"/>
      <c r="I9" s="177"/>
      <c r="J9" s="177"/>
      <c r="K9" s="177"/>
      <c r="L9" s="177"/>
      <c r="M9" s="177"/>
      <c r="N9" s="177"/>
    </row>
    <row r="10" spans="1:14" ht="25.5" thickBot="1" x14ac:dyDescent="0.3">
      <c r="A10" s="249" t="s">
        <v>149</v>
      </c>
      <c r="B10" s="250" t="s">
        <v>100</v>
      </c>
      <c r="C10" s="250" t="s">
        <v>68</v>
      </c>
      <c r="D10" s="251" t="s">
        <v>146</v>
      </c>
      <c r="E10" s="252"/>
      <c r="F10" s="252"/>
      <c r="G10" s="252"/>
      <c r="H10" s="253" t="s">
        <v>148</v>
      </c>
      <c r="I10" s="252"/>
      <c r="J10" s="252"/>
      <c r="K10" s="253" t="s">
        <v>148</v>
      </c>
      <c r="L10" s="252"/>
      <c r="M10" s="252"/>
      <c r="N10" s="254" t="s">
        <v>148</v>
      </c>
    </row>
    <row r="12" spans="1:14" x14ac:dyDescent="0.25">
      <c r="D12" s="152" t="s">
        <v>26</v>
      </c>
      <c r="E12" s="152" t="s">
        <v>27</v>
      </c>
      <c r="F12" s="152" t="s">
        <v>28</v>
      </c>
      <c r="G12" s="152" t="s">
        <v>29</v>
      </c>
      <c r="H12" s="152" t="s">
        <v>30</v>
      </c>
      <c r="I12" s="152" t="s">
        <v>31</v>
      </c>
      <c r="J12" s="152" t="s">
        <v>32</v>
      </c>
      <c r="K12" s="152" t="s">
        <v>33</v>
      </c>
      <c r="L12" s="152" t="s">
        <v>34</v>
      </c>
      <c r="M12" s="152" t="s">
        <v>35</v>
      </c>
      <c r="N12" s="152" t="s">
        <v>36</v>
      </c>
    </row>
    <row r="13" spans="1:14" ht="17.25" customHeight="1" x14ac:dyDescent="0.25">
      <c r="A13" s="381" t="s">
        <v>59</v>
      </c>
      <c r="B13" s="381"/>
      <c r="C13" s="146" t="s">
        <v>60</v>
      </c>
      <c r="D13" s="146">
        <v>2034</v>
      </c>
      <c r="E13" s="146">
        <v>2035</v>
      </c>
      <c r="F13" s="146">
        <v>2036</v>
      </c>
      <c r="G13" s="146">
        <v>2037</v>
      </c>
      <c r="H13" s="146">
        <v>2038</v>
      </c>
      <c r="I13" s="146">
        <v>2039</v>
      </c>
      <c r="J13" s="146">
        <v>2040</v>
      </c>
      <c r="K13" s="146">
        <v>2041</v>
      </c>
      <c r="L13" s="146">
        <v>2042</v>
      </c>
      <c r="M13" s="146">
        <v>2043</v>
      </c>
      <c r="N13" s="146">
        <v>2044</v>
      </c>
    </row>
    <row r="14" spans="1:14" ht="24.75" x14ac:dyDescent="0.25">
      <c r="A14" s="297" t="s">
        <v>69</v>
      </c>
      <c r="B14" s="147" t="s">
        <v>117</v>
      </c>
      <c r="C14" s="147" t="s">
        <v>77</v>
      </c>
      <c r="D14" s="150"/>
      <c r="E14" s="150"/>
      <c r="F14" s="150"/>
      <c r="G14" s="150"/>
      <c r="H14" s="246" t="s">
        <v>148</v>
      </c>
      <c r="I14" s="150"/>
      <c r="J14" s="150"/>
      <c r="K14" s="150"/>
      <c r="L14" s="150"/>
      <c r="M14" s="246" t="s">
        <v>148</v>
      </c>
      <c r="N14" s="148"/>
    </row>
    <row r="15" spans="1:14" ht="24.75" x14ac:dyDescent="0.25">
      <c r="A15" s="297"/>
      <c r="B15" s="147" t="s">
        <v>95</v>
      </c>
      <c r="C15" s="147" t="s">
        <v>77</v>
      </c>
      <c r="D15" s="150"/>
      <c r="E15" s="150"/>
      <c r="F15" s="150"/>
      <c r="G15" s="150"/>
      <c r="H15" s="150"/>
      <c r="I15" s="150"/>
      <c r="J15" s="150"/>
      <c r="K15" s="150"/>
      <c r="L15" s="150"/>
      <c r="M15" s="246" t="s">
        <v>148</v>
      </c>
      <c r="N15" s="148"/>
    </row>
    <row r="16" spans="1:14" ht="24.75" x14ac:dyDescent="0.25">
      <c r="A16" s="297"/>
      <c r="B16" s="147" t="s">
        <v>123</v>
      </c>
      <c r="C16" s="147" t="s">
        <v>121</v>
      </c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48"/>
    </row>
    <row r="17" spans="1:14" ht="24.75" x14ac:dyDescent="0.25">
      <c r="A17" s="297"/>
      <c r="B17" s="147" t="s">
        <v>124</v>
      </c>
      <c r="C17" s="147" t="s">
        <v>65</v>
      </c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48"/>
    </row>
    <row r="18" spans="1:14" ht="16.5" x14ac:dyDescent="0.25">
      <c r="A18" s="297"/>
      <c r="B18" s="147" t="s">
        <v>125</v>
      </c>
      <c r="C18" s="147" t="s">
        <v>66</v>
      </c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14" ht="17.25" thickBot="1" x14ac:dyDescent="0.3">
      <c r="A19" s="298"/>
      <c r="B19" s="158" t="s">
        <v>99</v>
      </c>
      <c r="C19" s="158" t="s">
        <v>67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5.5" thickBot="1" x14ac:dyDescent="0.3">
      <c r="A20" s="249" t="s">
        <v>149</v>
      </c>
      <c r="B20" s="250" t="s">
        <v>100</v>
      </c>
      <c r="C20" s="250" t="s">
        <v>68</v>
      </c>
      <c r="D20" s="252"/>
      <c r="E20" s="252"/>
      <c r="F20" s="253" t="s">
        <v>148</v>
      </c>
      <c r="G20" s="252"/>
      <c r="H20" s="252"/>
      <c r="I20" s="253" t="s">
        <v>148</v>
      </c>
      <c r="J20" s="252"/>
      <c r="K20" s="252"/>
      <c r="L20" s="253" t="s">
        <v>148</v>
      </c>
      <c r="M20" s="252"/>
      <c r="N20" s="255"/>
    </row>
    <row r="22" spans="1:14" x14ac:dyDescent="0.25">
      <c r="D22" s="152" t="s">
        <v>37</v>
      </c>
      <c r="E22" s="152" t="s">
        <v>38</v>
      </c>
      <c r="F22" s="152" t="s">
        <v>39</v>
      </c>
      <c r="G22" s="152" t="s">
        <v>40</v>
      </c>
      <c r="H22" s="152" t="s">
        <v>41</v>
      </c>
      <c r="I22" s="152" t="s">
        <v>42</v>
      </c>
      <c r="J22" s="152" t="s">
        <v>43</v>
      </c>
      <c r="K22" s="152" t="s">
        <v>44</v>
      </c>
      <c r="L22" s="152" t="s">
        <v>45</v>
      </c>
    </row>
    <row r="23" spans="1:14" ht="16.5" x14ac:dyDescent="0.25">
      <c r="A23" s="381" t="s">
        <v>59</v>
      </c>
      <c r="B23" s="381"/>
      <c r="C23" s="146" t="s">
        <v>60</v>
      </c>
      <c r="D23" s="146">
        <v>2045</v>
      </c>
      <c r="E23" s="146">
        <v>2046</v>
      </c>
      <c r="F23" s="146">
        <v>2047</v>
      </c>
      <c r="G23" s="146">
        <v>2048</v>
      </c>
      <c r="H23" s="146">
        <v>2049</v>
      </c>
      <c r="I23" s="146">
        <v>2050</v>
      </c>
      <c r="J23" s="146">
        <v>2051</v>
      </c>
      <c r="K23" s="146">
        <v>2052</v>
      </c>
      <c r="L23" s="146">
        <v>2053</v>
      </c>
    </row>
    <row r="24" spans="1:14" ht="24.75" x14ac:dyDescent="0.25">
      <c r="A24" s="297" t="s">
        <v>150</v>
      </c>
      <c r="B24" s="147" t="s">
        <v>117</v>
      </c>
      <c r="C24" s="147" t="s">
        <v>77</v>
      </c>
      <c r="D24" s="148"/>
      <c r="E24" s="150"/>
      <c r="F24" s="151"/>
      <c r="G24" s="246" t="s">
        <v>148</v>
      </c>
      <c r="H24" s="150"/>
      <c r="I24" s="148"/>
      <c r="J24" s="148"/>
      <c r="K24" s="150"/>
      <c r="L24" s="148"/>
    </row>
    <row r="25" spans="1:14" ht="24.75" x14ac:dyDescent="0.25">
      <c r="A25" s="297"/>
      <c r="B25" s="147" t="s">
        <v>95</v>
      </c>
      <c r="C25" s="147" t="s">
        <v>77</v>
      </c>
      <c r="D25" s="148"/>
      <c r="E25" s="150"/>
      <c r="F25" s="151"/>
      <c r="G25" s="148"/>
      <c r="H25" s="150"/>
      <c r="I25" s="148"/>
      <c r="J25" s="148"/>
      <c r="K25" s="150"/>
      <c r="L25" s="148"/>
    </row>
    <row r="26" spans="1:14" ht="24.75" x14ac:dyDescent="0.25">
      <c r="A26" s="297"/>
      <c r="B26" s="147" t="s">
        <v>123</v>
      </c>
      <c r="C26" s="147" t="s">
        <v>121</v>
      </c>
      <c r="D26" s="148"/>
      <c r="E26" s="150"/>
      <c r="F26" s="151"/>
      <c r="G26" s="148"/>
      <c r="H26" s="150"/>
      <c r="I26" s="148"/>
      <c r="J26" s="148"/>
      <c r="K26" s="150"/>
      <c r="L26" s="148"/>
    </row>
    <row r="27" spans="1:14" ht="24.75" x14ac:dyDescent="0.25">
      <c r="A27" s="297"/>
      <c r="B27" s="147" t="s">
        <v>124</v>
      </c>
      <c r="C27" s="147" t="s">
        <v>65</v>
      </c>
      <c r="D27" s="148"/>
      <c r="E27" s="150"/>
      <c r="F27" s="151"/>
      <c r="G27" s="148"/>
      <c r="H27" s="150"/>
      <c r="I27" s="148"/>
      <c r="J27" s="148"/>
      <c r="K27" s="150"/>
      <c r="L27" s="148"/>
    </row>
    <row r="28" spans="1:14" ht="16.5" x14ac:dyDescent="0.25">
      <c r="A28" s="297"/>
      <c r="B28" s="147" t="s">
        <v>125</v>
      </c>
      <c r="C28" s="147" t="s">
        <v>66</v>
      </c>
      <c r="D28" s="150"/>
      <c r="E28" s="150"/>
      <c r="F28" s="150"/>
      <c r="G28" s="150"/>
      <c r="H28" s="150"/>
      <c r="I28" s="150"/>
      <c r="J28" s="150"/>
      <c r="K28" s="150"/>
      <c r="L28" s="150"/>
    </row>
    <row r="29" spans="1:14" ht="17.25" thickBot="1" x14ac:dyDescent="0.3">
      <c r="A29" s="298"/>
      <c r="B29" s="158" t="s">
        <v>99</v>
      </c>
      <c r="C29" s="158" t="s">
        <v>67</v>
      </c>
      <c r="D29" s="177"/>
      <c r="E29" s="177"/>
      <c r="F29" s="177"/>
      <c r="G29" s="177"/>
      <c r="H29" s="177"/>
      <c r="I29" s="177"/>
      <c r="J29" s="177"/>
      <c r="K29" s="177"/>
      <c r="L29" s="177"/>
    </row>
    <row r="30" spans="1:14" ht="25.5" thickBot="1" x14ac:dyDescent="0.3">
      <c r="A30" s="249" t="s">
        <v>149</v>
      </c>
      <c r="B30" s="250" t="s">
        <v>100</v>
      </c>
      <c r="C30" s="250" t="s">
        <v>68</v>
      </c>
      <c r="D30" s="253" t="s">
        <v>148</v>
      </c>
      <c r="E30" s="252"/>
      <c r="F30" s="252"/>
      <c r="G30" s="253" t="s">
        <v>148</v>
      </c>
      <c r="H30" s="252"/>
      <c r="I30" s="252"/>
      <c r="J30" s="253" t="s">
        <v>148</v>
      </c>
      <c r="K30" s="252"/>
      <c r="L30" s="255"/>
    </row>
  </sheetData>
  <mergeCells count="6">
    <mergeCell ref="A24:A29"/>
    <mergeCell ref="A3:B3"/>
    <mergeCell ref="A4:A9"/>
    <mergeCell ref="A13:B13"/>
    <mergeCell ref="A14:A19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Suivis et pilotage</vt:lpstr>
      <vt:lpstr>Planning</vt:lpstr>
      <vt:lpstr>DECOMPTE 2023</vt:lpstr>
      <vt:lpstr>DECOMPTE 2024</vt:lpstr>
      <vt:lpstr>DECOMPTE 2025</vt:lpstr>
      <vt:lpstr>DECOMPTE 2026</vt:lpstr>
      <vt:lpstr>PGZHC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Contact</cp:lastModifiedBy>
  <cp:lastPrinted>2026-04-16T10:20:16Z</cp:lastPrinted>
  <dcterms:created xsi:type="dcterms:W3CDTF">2014-10-20T09:40:51Z</dcterms:created>
  <dcterms:modified xsi:type="dcterms:W3CDTF">2026-04-16T10:20:19Z</dcterms:modified>
</cp:coreProperties>
</file>